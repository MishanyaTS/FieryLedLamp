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69A2044-2CE2-4512-AD1F-F07CC9ED13B0}" xr6:coauthVersionLast="36" xr6:coauthVersionMax="47" xr10:uidLastSave="{00000000-0000-0000-0000-000000000000}"/>
  <bookViews>
    <workbookView xWindow="-120" yWindow="-120" windowWidth="20730" windowHeight="11310" tabRatio="16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1" l="1"/>
  <c r="AK4" i="1"/>
  <c r="V4" i="1" l="1"/>
  <c r="AG4" i="1" l="1"/>
  <c r="AF4" i="1" l="1"/>
  <c r="T5" i="1" l="1"/>
  <c r="A5" i="1"/>
  <c r="AK5" i="1" s="1"/>
  <c r="Z5" i="1" l="1"/>
  <c r="AG5" i="1"/>
  <c r="V5" i="1"/>
  <c r="AF5" i="1"/>
  <c r="AJ5" i="1"/>
  <c r="AH5" i="1"/>
  <c r="AE5" i="1"/>
  <c r="AD5" i="1"/>
  <c r="AC5" i="1"/>
  <c r="AA5" i="1"/>
  <c r="T6" i="1" l="1"/>
  <c r="AH4" i="1"/>
  <c r="T7" i="1" l="1"/>
  <c r="T8" i="1" s="1"/>
  <c r="AD8" i="1" s="1"/>
  <c r="AA8" i="1" l="1"/>
  <c r="AC8" i="1"/>
  <c r="AE8" i="1"/>
  <c r="V8" i="1"/>
  <c r="V7" i="1"/>
  <c r="AA7" i="1"/>
  <c r="AD7" i="1"/>
  <c r="AC7" i="1"/>
  <c r="T9" i="1"/>
  <c r="AE7" i="1"/>
  <c r="AD9" i="1" l="1"/>
  <c r="AE9" i="1"/>
  <c r="AA9" i="1"/>
  <c r="AC9" i="1"/>
  <c r="T10" i="1"/>
  <c r="V9" i="1"/>
  <c r="AE6" i="1"/>
  <c r="AD6" i="1"/>
  <c r="AC6" i="1"/>
  <c r="AA6" i="1"/>
  <c r="V6" i="1"/>
  <c r="A6" i="1"/>
  <c r="AJ4" i="1"/>
  <c r="AE4" i="1"/>
  <c r="AD4" i="1"/>
  <c r="AC4" i="1"/>
  <c r="AB4" i="1"/>
  <c r="AA4" i="1"/>
  <c r="Y4" i="1"/>
  <c r="X4" i="1"/>
  <c r="W4" i="1"/>
  <c r="AK6" i="1" l="1"/>
  <c r="Z6" i="1"/>
  <c r="AG6" i="1"/>
  <c r="AF6" i="1"/>
  <c r="AE10" i="1"/>
  <c r="AA10" i="1"/>
  <c r="T11" i="1"/>
  <c r="AC10" i="1"/>
  <c r="AD10" i="1"/>
  <c r="V10" i="1"/>
  <c r="A7" i="1"/>
  <c r="Z7" i="1" s="1"/>
  <c r="W6" i="1"/>
  <c r="X6" i="1"/>
  <c r="Y6" i="1"/>
  <c r="AJ6" i="1"/>
  <c r="AH6" i="1"/>
  <c r="AG7" i="1" l="1"/>
  <c r="AK7" i="1"/>
  <c r="A8" i="1"/>
  <c r="Z8" i="1" s="1"/>
  <c r="AF7" i="1"/>
  <c r="AE11" i="1"/>
  <c r="AD11" i="1"/>
  <c r="V11" i="1"/>
  <c r="AA11" i="1"/>
  <c r="T12" i="1"/>
  <c r="AC11" i="1"/>
  <c r="AJ7" i="1"/>
  <c r="AH7" i="1"/>
  <c r="AH8" i="1" l="1"/>
  <c r="AK8" i="1"/>
  <c r="A9" i="1"/>
  <c r="Z9" i="1" s="1"/>
  <c r="AG8" i="1"/>
  <c r="AJ8" i="1"/>
  <c r="AF8" i="1"/>
  <c r="AD12" i="1"/>
  <c r="T13" i="1"/>
  <c r="AE12" i="1"/>
  <c r="V12" i="1"/>
  <c r="AA12" i="1"/>
  <c r="AC12" i="1"/>
  <c r="AG9" i="1" l="1"/>
  <c r="AK9" i="1"/>
  <c r="AJ9" i="1"/>
  <c r="AH9" i="1"/>
  <c r="AF9" i="1"/>
  <c r="A10" i="1"/>
  <c r="Z10" i="1" s="1"/>
  <c r="AC13" i="1"/>
  <c r="AD13" i="1"/>
  <c r="AE13" i="1"/>
  <c r="AA13" i="1"/>
  <c r="T14" i="1"/>
  <c r="V13" i="1"/>
  <c r="AG10" i="1" l="1"/>
  <c r="AK10" i="1"/>
  <c r="AF10" i="1"/>
  <c r="AJ10" i="1"/>
  <c r="AH10" i="1"/>
  <c r="A11" i="1"/>
  <c r="T15" i="1"/>
  <c r="AC14" i="1"/>
  <c r="V14" i="1"/>
  <c r="AA14" i="1"/>
  <c r="AD14" i="1"/>
  <c r="AE14" i="1"/>
  <c r="AK11" i="1" l="1"/>
  <c r="Z11" i="1"/>
  <c r="AG11" i="1"/>
  <c r="AB11" i="1"/>
  <c r="X11" i="1"/>
  <c r="W11" i="1"/>
  <c r="A12" i="1"/>
  <c r="Z12" i="1" s="1"/>
  <c r="AJ11" i="1"/>
  <c r="Y11" i="1"/>
  <c r="AH11" i="1"/>
  <c r="AF11" i="1"/>
  <c r="T16" i="1"/>
  <c r="AC16" i="1" s="1"/>
  <c r="AA15" i="1"/>
  <c r="V15" i="1"/>
  <c r="AE15" i="1"/>
  <c r="AC15" i="1"/>
  <c r="AD15" i="1"/>
  <c r="AG12" i="1" l="1"/>
  <c r="AK12" i="1"/>
  <c r="AH12" i="1"/>
  <c r="AF12" i="1"/>
  <c r="AJ12" i="1"/>
  <c r="V16" i="1"/>
  <c r="AE16" i="1"/>
  <c r="AD16" i="1"/>
  <c r="AA16" i="1"/>
  <c r="A13" i="1"/>
  <c r="T17" i="1"/>
  <c r="AC17" i="1" s="1"/>
  <c r="AK13" i="1" l="1"/>
  <c r="Z13" i="1"/>
  <c r="V17" i="1"/>
  <c r="AD17" i="1"/>
  <c r="AE17" i="1"/>
  <c r="T18" i="1"/>
  <c r="AC18" i="1" s="1"/>
  <c r="AA17" i="1"/>
  <c r="AG13" i="1"/>
  <c r="AH13" i="1"/>
  <c r="A14" i="1"/>
  <c r="Z14" i="1" s="1"/>
  <c r="Y13" i="1"/>
  <c r="AJ13" i="1"/>
  <c r="AB13" i="1"/>
  <c r="X13" i="1"/>
  <c r="W13" i="1"/>
  <c r="AF13" i="1"/>
  <c r="AA18" i="1" l="1"/>
  <c r="V18" i="1"/>
  <c r="A15" i="1"/>
  <c r="Z15" i="1" s="1"/>
  <c r="AK14" i="1"/>
  <c r="T19" i="1"/>
  <c r="T20" i="1" s="1"/>
  <c r="AE18" i="1"/>
  <c r="AD18" i="1"/>
  <c r="AF15" i="1"/>
  <c r="X15" i="1"/>
  <c r="Y15" i="1"/>
  <c r="AB15" i="1"/>
  <c r="AH15" i="1"/>
  <c r="AG14" i="1"/>
  <c r="AJ14" i="1"/>
  <c r="AH14" i="1"/>
  <c r="X14" i="1"/>
  <c r="Y14" i="1"/>
  <c r="AF14" i="1"/>
  <c r="W14" i="1"/>
  <c r="AJ15" i="1"/>
  <c r="A16" i="1"/>
  <c r="Z16" i="1" s="1"/>
  <c r="W15" i="1"/>
  <c r="AG16" i="1" l="1"/>
  <c r="AK16" i="1"/>
  <c r="AG15" i="1"/>
  <c r="AK15" i="1"/>
  <c r="V19" i="1"/>
  <c r="AD19" i="1"/>
  <c r="AA19" i="1"/>
  <c r="AE19" i="1"/>
  <c r="AC19" i="1"/>
  <c r="W16" i="1"/>
  <c r="AJ16" i="1"/>
  <c r="Y16" i="1"/>
  <c r="AF16" i="1"/>
  <c r="X16" i="1"/>
  <c r="AH16" i="1"/>
  <c r="AB16" i="1"/>
  <c r="A17" i="1"/>
  <c r="Z17" i="1" s="1"/>
  <c r="T21" i="1"/>
  <c r="V20" i="1"/>
  <c r="AE20" i="1"/>
  <c r="AD20" i="1"/>
  <c r="AA20" i="1"/>
  <c r="AC20" i="1"/>
  <c r="AG17" i="1" l="1"/>
  <c r="AK17" i="1"/>
  <c r="A18" i="1"/>
  <c r="AF18" i="1" s="1"/>
  <c r="AB17" i="1"/>
  <c r="Y17" i="1"/>
  <c r="W17" i="1"/>
  <c r="AH17" i="1"/>
  <c r="AJ17" i="1"/>
  <c r="AF17" i="1"/>
  <c r="X17" i="1"/>
  <c r="A19" i="1"/>
  <c r="Z19" i="1" s="1"/>
  <c r="W18" i="1"/>
  <c r="T22" i="1"/>
  <c r="AD21" i="1"/>
  <c r="AE21" i="1"/>
  <c r="AC21" i="1"/>
  <c r="V21" i="1"/>
  <c r="AA21" i="1"/>
  <c r="Y18" i="1" l="1"/>
  <c r="Z18" i="1"/>
  <c r="AH18" i="1"/>
  <c r="X18" i="1"/>
  <c r="AG19" i="1"/>
  <c r="AK19" i="1"/>
  <c r="AJ18" i="1"/>
  <c r="AK18" i="1"/>
  <c r="AG18" i="1"/>
  <c r="AB18" i="1"/>
  <c r="X19" i="1"/>
  <c r="AJ19" i="1"/>
  <c r="AF19" i="1"/>
  <c r="Y19" i="1"/>
  <c r="AH19" i="1"/>
  <c r="AB19" i="1"/>
  <c r="W19" i="1"/>
  <c r="A20" i="1"/>
  <c r="Z20" i="1" s="1"/>
  <c r="T23" i="1"/>
  <c r="AC23" i="1" s="1"/>
  <c r="AA22" i="1"/>
  <c r="AC22" i="1"/>
  <c r="V22" i="1"/>
  <c r="AD22" i="1"/>
  <c r="AE22" i="1"/>
  <c r="AG20" i="1" l="1"/>
  <c r="AK20" i="1"/>
  <c r="AH20" i="1"/>
  <c r="X20" i="1"/>
  <c r="Y20" i="1"/>
  <c r="AF20" i="1"/>
  <c r="AJ20" i="1"/>
  <c r="AB20" i="1"/>
  <c r="AE23" i="1"/>
  <c r="A21" i="1"/>
  <c r="Z21" i="1" s="1"/>
  <c r="W20" i="1"/>
  <c r="AA23" i="1"/>
  <c r="AD23" i="1"/>
  <c r="V23" i="1"/>
  <c r="T24" i="1"/>
  <c r="AD24" i="1" s="1"/>
  <c r="AG21" i="1" l="1"/>
  <c r="AK21" i="1"/>
  <c r="AB21" i="1"/>
  <c r="AJ21" i="1"/>
  <c r="W21" i="1"/>
  <c r="AA24" i="1"/>
  <c r="AE24" i="1"/>
  <c r="A22" i="1"/>
  <c r="Z22" i="1" s="1"/>
  <c r="AC24" i="1"/>
  <c r="T25" i="1"/>
  <c r="T26" i="1" s="1"/>
  <c r="AC26" i="1" s="1"/>
  <c r="V24" i="1"/>
  <c r="X21" i="1"/>
  <c r="Y21" i="1"/>
  <c r="AH21" i="1"/>
  <c r="AF21" i="1"/>
  <c r="AG22" i="1" l="1"/>
  <c r="AK22" i="1"/>
  <c r="T27" i="1"/>
  <c r="AE25" i="1"/>
  <c r="AH22" i="1"/>
  <c r="AD25" i="1"/>
  <c r="AJ22" i="1"/>
  <c r="V25" i="1"/>
  <c r="AA25" i="1"/>
  <c r="AE26" i="1"/>
  <c r="AA26" i="1"/>
  <c r="AD26" i="1"/>
  <c r="Y22" i="1"/>
  <c r="V26" i="1"/>
  <c r="X22" i="1"/>
  <c r="W22" i="1"/>
  <c r="AC25" i="1"/>
  <c r="AF22" i="1"/>
  <c r="A23" i="1"/>
  <c r="Z23" i="1" s="1"/>
  <c r="T28" i="1"/>
  <c r="T29" i="1" s="1"/>
  <c r="AD27" i="1"/>
  <c r="V27" i="1"/>
  <c r="AA27" i="1"/>
  <c r="AC27" i="1"/>
  <c r="AE27" i="1"/>
  <c r="AG23" i="1" l="1"/>
  <c r="AK23" i="1"/>
  <c r="X23" i="1"/>
  <c r="W23" i="1"/>
  <c r="AF23" i="1"/>
  <c r="AB23" i="1"/>
  <c r="A24" i="1"/>
  <c r="Z24" i="1" s="1"/>
  <c r="AJ23" i="1"/>
  <c r="AH23" i="1"/>
  <c r="Y23" i="1"/>
  <c r="AC28" i="1"/>
  <c r="AE28" i="1"/>
  <c r="V28" i="1"/>
  <c r="AA28" i="1"/>
  <c r="AD28" i="1"/>
  <c r="T30" i="1"/>
  <c r="AD30" i="1" s="1"/>
  <c r="V29" i="1"/>
  <c r="AC29" i="1"/>
  <c r="AE29" i="1"/>
  <c r="AA29" i="1"/>
  <c r="AD29" i="1"/>
  <c r="AG24" i="1" l="1"/>
  <c r="AK24" i="1"/>
  <c r="AF24" i="1"/>
  <c r="AB24" i="1"/>
  <c r="A25" i="1"/>
  <c r="Z25" i="1" s="1"/>
  <c r="W24" i="1"/>
  <c r="AJ24" i="1"/>
  <c r="AH24" i="1"/>
  <c r="X24" i="1"/>
  <c r="Y24" i="1"/>
  <c r="T31" i="1"/>
  <c r="T32" i="1" s="1"/>
  <c r="T33" i="1" s="1"/>
  <c r="AA30" i="1"/>
  <c r="AC30" i="1"/>
  <c r="AE30" i="1"/>
  <c r="V30" i="1"/>
  <c r="AJ25" i="1" l="1"/>
  <c r="AG25" i="1"/>
  <c r="AK25" i="1"/>
  <c r="Y25" i="1"/>
  <c r="A26" i="1"/>
  <c r="AG26" i="1" s="1"/>
  <c r="AF25" i="1"/>
  <c r="V31" i="1"/>
  <c r="AA31" i="1"/>
  <c r="AB25" i="1"/>
  <c r="AC31" i="1"/>
  <c r="X25" i="1"/>
  <c r="AH25" i="1"/>
  <c r="AE31" i="1"/>
  <c r="W25" i="1"/>
  <c r="AD31" i="1"/>
  <c r="AE33" i="1"/>
  <c r="AC33" i="1"/>
  <c r="AD33" i="1"/>
  <c r="V33" i="1"/>
  <c r="AA33" i="1"/>
  <c r="A27" i="1"/>
  <c r="Z27" i="1" s="1"/>
  <c r="AJ26" i="1"/>
  <c r="AB26" i="1"/>
  <c r="AH26" i="1"/>
  <c r="T34" i="1"/>
  <c r="AD34" i="1" s="1"/>
  <c r="AA32" i="1"/>
  <c r="AD32" i="1"/>
  <c r="AC32" i="1"/>
  <c r="AE32" i="1"/>
  <c r="V32" i="1"/>
  <c r="W26" i="1" l="1"/>
  <c r="Z26" i="1"/>
  <c r="X26" i="1"/>
  <c r="AG27" i="1"/>
  <c r="AK27" i="1"/>
  <c r="Y26" i="1"/>
  <c r="AK26" i="1"/>
  <c r="AF26" i="1"/>
  <c r="AH27" i="1"/>
  <c r="AJ27" i="1"/>
  <c r="Y27" i="1"/>
  <c r="AB27" i="1"/>
  <c r="X27" i="1"/>
  <c r="A28" i="1"/>
  <c r="Z28" i="1" s="1"/>
  <c r="W27" i="1"/>
  <c r="AF27" i="1"/>
  <c r="V34" i="1"/>
  <c r="AA34" i="1"/>
  <c r="AC34" i="1"/>
  <c r="T35" i="1"/>
  <c r="AA35" i="1" s="1"/>
  <c r="AE34" i="1"/>
  <c r="AG28" i="1" l="1"/>
  <c r="AK28" i="1"/>
  <c r="AH28" i="1"/>
  <c r="W28" i="1"/>
  <c r="A29" i="1"/>
  <c r="Z29" i="1" s="1"/>
  <c r="AJ28" i="1"/>
  <c r="AF28" i="1"/>
  <c r="AB28" i="1"/>
  <c r="Y28" i="1"/>
  <c r="X28" i="1"/>
  <c r="V35" i="1"/>
  <c r="AE35" i="1"/>
  <c r="T36" i="1"/>
  <c r="V36" i="1" s="1"/>
  <c r="AD35" i="1"/>
  <c r="AC35" i="1"/>
  <c r="AG29" i="1" l="1"/>
  <c r="AK29" i="1"/>
  <c r="AH29" i="1"/>
  <c r="AJ29" i="1"/>
  <c r="A30" i="1"/>
  <c r="Z30" i="1" s="1"/>
  <c r="AF29" i="1"/>
  <c r="T37" i="1"/>
  <c r="AD37" i="1" s="1"/>
  <c r="AC36" i="1"/>
  <c r="AE36" i="1"/>
  <c r="AA36" i="1"/>
  <c r="AD36" i="1"/>
  <c r="A31" i="1" l="1"/>
  <c r="Z31" i="1" s="1"/>
  <c r="AK30" i="1"/>
  <c r="AH31" i="1"/>
  <c r="AA37" i="1"/>
  <c r="AF31" i="1"/>
  <c r="AB31" i="1"/>
  <c r="X31" i="1"/>
  <c r="W31" i="1"/>
  <c r="AG31" i="1"/>
  <c r="AF30" i="1"/>
  <c r="AC37" i="1"/>
  <c r="V37" i="1"/>
  <c r="AJ30" i="1"/>
  <c r="T38" i="1"/>
  <c r="T39" i="1" s="1"/>
  <c r="Y31" i="1"/>
  <c r="AG30" i="1"/>
  <c r="AE37" i="1"/>
  <c r="AJ31" i="1"/>
  <c r="AH30" i="1"/>
  <c r="A32" i="1" l="1"/>
  <c r="Z32" i="1" s="1"/>
  <c r="AK31" i="1"/>
  <c r="AA38" i="1"/>
  <c r="AD38" i="1"/>
  <c r="AC38" i="1"/>
  <c r="V38" i="1"/>
  <c r="AE38" i="1"/>
  <c r="AC39" i="1"/>
  <c r="AD39" i="1"/>
  <c r="AE39" i="1"/>
  <c r="AA39" i="1"/>
  <c r="V39" i="1"/>
  <c r="T40" i="1"/>
  <c r="AG32" i="1" l="1"/>
  <c r="AK32" i="1"/>
  <c r="Y32" i="1"/>
  <c r="AB32" i="1"/>
  <c r="X32" i="1"/>
  <c r="A33" i="1"/>
  <c r="Z33" i="1" s="1"/>
  <c r="AH32" i="1"/>
  <c r="AF32" i="1"/>
  <c r="AJ32" i="1"/>
  <c r="W32" i="1"/>
  <c r="T41" i="1"/>
  <c r="AA41" i="1" s="1"/>
  <c r="V40" i="1"/>
  <c r="AD40" i="1"/>
  <c r="AA40" i="1"/>
  <c r="AC40" i="1"/>
  <c r="AE40" i="1"/>
  <c r="AK33" i="1" l="1"/>
  <c r="AG33" i="1"/>
  <c r="AF33" i="1"/>
  <c r="AH33" i="1"/>
  <c r="AJ33" i="1"/>
  <c r="A34" i="1"/>
  <c r="Z34" i="1" s="1"/>
  <c r="AD41" i="1"/>
  <c r="AC41" i="1"/>
  <c r="AE41" i="1"/>
  <c r="T42" i="1"/>
  <c r="AC42" i="1" s="1"/>
  <c r="V41" i="1"/>
  <c r="AG34" i="1" l="1"/>
  <c r="AK34" i="1"/>
  <c r="X34" i="1"/>
  <c r="AB34" i="1"/>
  <c r="Y34" i="1"/>
  <c r="W34" i="1"/>
  <c r="AJ34" i="1"/>
  <c r="AF34" i="1"/>
  <c r="AH34" i="1"/>
  <c r="A35" i="1"/>
  <c r="AA42" i="1"/>
  <c r="V42" i="1"/>
  <c r="AE42" i="1"/>
  <c r="T43" i="1"/>
  <c r="AD43" i="1" s="1"/>
  <c r="AD42" i="1"/>
  <c r="AC43" i="1"/>
  <c r="AA43" i="1"/>
  <c r="A36" i="1" l="1"/>
  <c r="Z36" i="1" s="1"/>
  <c r="Z35" i="1"/>
  <c r="AG36" i="1"/>
  <c r="AK36" i="1"/>
  <c r="Y36" i="1"/>
  <c r="W36" i="1"/>
  <c r="AB36" i="1"/>
  <c r="AJ36" i="1"/>
  <c r="X36" i="1"/>
  <c r="AH36" i="1"/>
  <c r="AF36" i="1"/>
  <c r="A37" i="1"/>
  <c r="AG35" i="1"/>
  <c r="AK35" i="1"/>
  <c r="X35" i="1"/>
  <c r="Y35" i="1"/>
  <c r="W35" i="1"/>
  <c r="AB35" i="1"/>
  <c r="AF35" i="1"/>
  <c r="AH35" i="1"/>
  <c r="AJ35" i="1"/>
  <c r="T44" i="1"/>
  <c r="AE44" i="1" s="1"/>
  <c r="V43" i="1"/>
  <c r="AE43" i="1"/>
  <c r="A38" i="1" l="1"/>
  <c r="Z38" i="1" s="1"/>
  <c r="Z37" i="1"/>
  <c r="AC44" i="1"/>
  <c r="AA44" i="1"/>
  <c r="AG37" i="1"/>
  <c r="AK37" i="1"/>
  <c r="AH37" i="1"/>
  <c r="X37" i="1"/>
  <c r="AF37" i="1"/>
  <c r="Y37" i="1"/>
  <c r="AJ37" i="1"/>
  <c r="W37" i="1"/>
  <c r="AB37" i="1"/>
  <c r="T45" i="1"/>
  <c r="AD45" i="1" s="1"/>
  <c r="AD44" i="1"/>
  <c r="AG38" i="1"/>
  <c r="AK38" i="1"/>
  <c r="AB38" i="1"/>
  <c r="AJ38" i="1"/>
  <c r="W38" i="1"/>
  <c r="AF38" i="1"/>
  <c r="Y38" i="1"/>
  <c r="AH38" i="1"/>
  <c r="X38" i="1"/>
  <c r="A39" i="1"/>
  <c r="Z39" i="1" s="1"/>
  <c r="V44" i="1"/>
  <c r="AA45" i="1" l="1"/>
  <c r="T46" i="1"/>
  <c r="V45" i="1"/>
  <c r="Y39" i="1"/>
  <c r="AK39" i="1"/>
  <c r="AJ39" i="1"/>
  <c r="AB39" i="1"/>
  <c r="AH39" i="1"/>
  <c r="AG39" i="1"/>
  <c r="W39" i="1"/>
  <c r="AF39" i="1"/>
  <c r="X39" i="1"/>
  <c r="A41" i="1"/>
  <c r="Z41" i="1" s="1"/>
  <c r="A40" i="1"/>
  <c r="Z40" i="1" s="1"/>
  <c r="AE45" i="1"/>
  <c r="AC45" i="1"/>
  <c r="AA46" i="1"/>
  <c r="AE46" i="1"/>
  <c r="T47" i="1"/>
  <c r="V46" i="1"/>
  <c r="AC46" i="1"/>
  <c r="AD46" i="1"/>
  <c r="AG40" i="1" l="1"/>
  <c r="AK40" i="1"/>
  <c r="AF40" i="1"/>
  <c r="AB40" i="1"/>
  <c r="AH40" i="1"/>
  <c r="AJ40" i="1"/>
  <c r="W40" i="1"/>
  <c r="X40" i="1"/>
  <c r="Y40" i="1"/>
  <c r="AG41" i="1"/>
  <c r="AK41" i="1"/>
  <c r="Y41" i="1"/>
  <c r="AH41" i="1"/>
  <c r="AB41" i="1"/>
  <c r="W41" i="1"/>
  <c r="A42" i="1"/>
  <c r="X41" i="1"/>
  <c r="AF41" i="1"/>
  <c r="AJ41" i="1"/>
  <c r="AF42" i="1"/>
  <c r="AC47" i="1"/>
  <c r="A43" i="1"/>
  <c r="Z43" i="1" s="1"/>
  <c r="Y42" i="1"/>
  <c r="AJ42" i="1"/>
  <c r="AA47" i="1"/>
  <c r="AD47" i="1"/>
  <c r="V47" i="1"/>
  <c r="AE47" i="1"/>
  <c r="T48" i="1"/>
  <c r="X42" i="1" l="1"/>
  <c r="Z42" i="1"/>
  <c r="AG43" i="1"/>
  <c r="AK43" i="1"/>
  <c r="AG42" i="1"/>
  <c r="AK42" i="1"/>
  <c r="AH42" i="1"/>
  <c r="AB42" i="1"/>
  <c r="W42" i="1"/>
  <c r="AJ43" i="1"/>
  <c r="W43" i="1"/>
  <c r="AH43" i="1"/>
  <c r="X43" i="1"/>
  <c r="Y43" i="1"/>
  <c r="A44" i="1"/>
  <c r="AB43" i="1"/>
  <c r="AF43" i="1"/>
  <c r="V48" i="1"/>
  <c r="T49" i="1"/>
  <c r="AC48" i="1"/>
  <c r="AD48" i="1"/>
  <c r="AA48" i="1"/>
  <c r="AE48" i="1"/>
  <c r="AK44" i="1" l="1"/>
  <c r="Z44" i="1"/>
  <c r="Y44" i="1"/>
  <c r="AG44" i="1"/>
  <c r="W44" i="1"/>
  <c r="AB44" i="1"/>
  <c r="X44" i="1"/>
  <c r="AH44" i="1"/>
  <c r="AJ44" i="1"/>
  <c r="AF44" i="1"/>
  <c r="A45" i="1"/>
  <c r="Z45" i="1" s="1"/>
  <c r="T50" i="1"/>
  <c r="V50" i="1" s="1"/>
  <c r="AC49" i="1"/>
  <c r="AE49" i="1"/>
  <c r="AA49" i="1"/>
  <c r="V49" i="1"/>
  <c r="AD49" i="1"/>
  <c r="AG45" i="1" l="1"/>
  <c r="AK45" i="1"/>
  <c r="AA50" i="1"/>
  <c r="AC50" i="1"/>
  <c r="AD50" i="1"/>
  <c r="AE50" i="1"/>
  <c r="T51" i="1"/>
  <c r="AJ45" i="1"/>
  <c r="AH45" i="1"/>
  <c r="A46" i="1"/>
  <c r="Z46" i="1" s="1"/>
  <c r="AF45" i="1"/>
  <c r="W45" i="1"/>
  <c r="AB45" i="1"/>
  <c r="Y45" i="1"/>
  <c r="X45" i="1"/>
  <c r="AG46" i="1" l="1"/>
  <c r="AK46" i="1"/>
  <c r="AE51" i="1"/>
  <c r="AA51" i="1"/>
  <c r="V51" i="1"/>
  <c r="AC51" i="1"/>
  <c r="T54" i="1"/>
  <c r="AD54" i="1" s="1"/>
  <c r="AD51" i="1"/>
  <c r="AF46" i="1"/>
  <c r="AH46" i="1"/>
  <c r="W46" i="1"/>
  <c r="Y46" i="1"/>
  <c r="X46" i="1"/>
  <c r="AJ46" i="1"/>
  <c r="A47" i="1"/>
  <c r="AK47" i="1" l="1"/>
  <c r="Z47" i="1"/>
  <c r="T55" i="1"/>
  <c r="T56" i="1" s="1"/>
  <c r="AE54" i="1"/>
  <c r="AC54" i="1"/>
  <c r="V54" i="1"/>
  <c r="AA54" i="1"/>
  <c r="A48" i="1"/>
  <c r="Z48" i="1" s="1"/>
  <c r="AG47" i="1"/>
  <c r="AF47" i="1"/>
  <c r="AJ47" i="1"/>
  <c r="AB47" i="1"/>
  <c r="Y47" i="1"/>
  <c r="X47" i="1"/>
  <c r="AH47" i="1"/>
  <c r="W47" i="1"/>
  <c r="Y48" i="1" l="1"/>
  <c r="AK48" i="1"/>
  <c r="AE55" i="1"/>
  <c r="AC55" i="1"/>
  <c r="AD55" i="1"/>
  <c r="V55" i="1"/>
  <c r="AA55" i="1"/>
  <c r="AF48" i="1"/>
  <c r="X48" i="1"/>
  <c r="W48" i="1"/>
  <c r="AH48" i="1"/>
  <c r="AJ48" i="1"/>
  <c r="A49" i="1"/>
  <c r="Z49" i="1" s="1"/>
  <c r="AB48" i="1"/>
  <c r="AA56" i="1"/>
  <c r="T57" i="1"/>
  <c r="AC56" i="1"/>
  <c r="AD56" i="1"/>
  <c r="V56" i="1"/>
  <c r="AE56" i="1"/>
  <c r="AG48" i="1"/>
  <c r="AH49" i="1" l="1"/>
  <c r="AK49" i="1"/>
  <c r="A50" i="1"/>
  <c r="AB50" i="1" s="1"/>
  <c r="Y49" i="1"/>
  <c r="X49" i="1"/>
  <c r="AB49" i="1"/>
  <c r="W49" i="1"/>
  <c r="AF50" i="1"/>
  <c r="AG49" i="1"/>
  <c r="AJ49" i="1"/>
  <c r="A51" i="1"/>
  <c r="Z51" i="1" s="1"/>
  <c r="AF49" i="1"/>
  <c r="AD57" i="1"/>
  <c r="AE57" i="1"/>
  <c r="AA57" i="1"/>
  <c r="V57" i="1"/>
  <c r="AC57" i="1"/>
  <c r="T58" i="1"/>
  <c r="AJ50" i="1" l="1"/>
  <c r="W50" i="1"/>
  <c r="Z50" i="1"/>
  <c r="AH50" i="1"/>
  <c r="Y50" i="1"/>
  <c r="X50" i="1"/>
  <c r="AJ51" i="1"/>
  <c r="AK51" i="1"/>
  <c r="AG50" i="1"/>
  <c r="AK50" i="1"/>
  <c r="AG51" i="1"/>
  <c r="A54" i="1"/>
  <c r="Z54" i="1" s="1"/>
  <c r="AH51" i="1"/>
  <c r="Y51" i="1"/>
  <c r="AF51" i="1"/>
  <c r="W51" i="1"/>
  <c r="AB51" i="1"/>
  <c r="X51" i="1"/>
  <c r="AD58" i="1"/>
  <c r="AC58" i="1"/>
  <c r="T59" i="1"/>
  <c r="T60" i="1" s="1"/>
  <c r="V60" i="1" s="1"/>
  <c r="AE58" i="1"/>
  <c r="AA58" i="1"/>
  <c r="V58" i="1"/>
  <c r="AF54" i="1" l="1"/>
  <c r="AK54" i="1"/>
  <c r="AJ54" i="1"/>
  <c r="AH54" i="1"/>
  <c r="Y54" i="1"/>
  <c r="AG54" i="1"/>
  <c r="W54" i="1"/>
  <c r="X54" i="1"/>
  <c r="AB54" i="1"/>
  <c r="A55" i="1"/>
  <c r="AA60" i="1"/>
  <c r="AD60" i="1"/>
  <c r="AC60" i="1"/>
  <c r="AE59" i="1"/>
  <c r="AD59" i="1"/>
  <c r="AA59" i="1"/>
  <c r="V59" i="1"/>
  <c r="AC59" i="1"/>
  <c r="AE60" i="1"/>
  <c r="T61" i="1"/>
  <c r="T62" i="1" s="1"/>
  <c r="AK55" i="1" l="1"/>
  <c r="Z55" i="1"/>
  <c r="A56" i="1"/>
  <c r="Z56" i="1" s="1"/>
  <c r="AH55" i="1"/>
  <c r="AJ55" i="1"/>
  <c r="AF55" i="1"/>
  <c r="AG55" i="1"/>
  <c r="Y56" i="1"/>
  <c r="AH56" i="1"/>
  <c r="AF56" i="1"/>
  <c r="AG56" i="1"/>
  <c r="AJ56" i="1"/>
  <c r="T63" i="1"/>
  <c r="AC63" i="1" s="1"/>
  <c r="AD62" i="1"/>
  <c r="AC62" i="1"/>
  <c r="AA62" i="1"/>
  <c r="V62" i="1"/>
  <c r="AE62" i="1"/>
  <c r="AD61" i="1"/>
  <c r="AE61" i="1"/>
  <c r="AA61" i="1"/>
  <c r="V61" i="1"/>
  <c r="AC61" i="1"/>
  <c r="W56" i="1" l="1"/>
  <c r="AK56" i="1"/>
  <c r="X56" i="1"/>
  <c r="AB56" i="1"/>
  <c r="A57" i="1"/>
  <c r="AA63" i="1"/>
  <c r="V63" i="1"/>
  <c r="AE63" i="1"/>
  <c r="T64" i="1"/>
  <c r="AA64" i="1" s="1"/>
  <c r="AD63" i="1"/>
  <c r="AK57" i="1" l="1"/>
  <c r="Z57" i="1"/>
  <c r="A58" i="1"/>
  <c r="AG57" i="1"/>
  <c r="X57" i="1"/>
  <c r="AB57" i="1"/>
  <c r="W57" i="1"/>
  <c r="A59" i="1"/>
  <c r="AF57" i="1"/>
  <c r="AJ57" i="1"/>
  <c r="AH57" i="1"/>
  <c r="Y57" i="1"/>
  <c r="V64" i="1"/>
  <c r="AD64" i="1"/>
  <c r="T65" i="1"/>
  <c r="T66" i="1" s="1"/>
  <c r="AA66" i="1" s="1"/>
  <c r="AC64" i="1"/>
  <c r="AE64" i="1"/>
  <c r="AK58" i="1" l="1"/>
  <c r="Z58" i="1"/>
  <c r="AK59" i="1"/>
  <c r="Z59" i="1"/>
  <c r="X59" i="1"/>
  <c r="AF59" i="1"/>
  <c r="AB59" i="1"/>
  <c r="AJ59" i="1"/>
  <c r="Y59" i="1"/>
  <c r="AH59" i="1"/>
  <c r="AG59" i="1"/>
  <c r="W59" i="1"/>
  <c r="AB58" i="1"/>
  <c r="AF58" i="1"/>
  <c r="W58" i="1"/>
  <c r="Y58" i="1"/>
  <c r="X58" i="1"/>
  <c r="AG58" i="1"/>
  <c r="AH58" i="1"/>
  <c r="AJ58" i="1"/>
  <c r="A60" i="1"/>
  <c r="AD65" i="1"/>
  <c r="AA65" i="1"/>
  <c r="AE65" i="1"/>
  <c r="AC65" i="1"/>
  <c r="V65" i="1"/>
  <c r="V66" i="1"/>
  <c r="AC66" i="1"/>
  <c r="AE66" i="1"/>
  <c r="T67" i="1"/>
  <c r="AC67" i="1" s="1"/>
  <c r="AD66" i="1"/>
  <c r="AK60" i="1" l="1"/>
  <c r="Z60" i="1"/>
  <c r="AG60" i="1"/>
  <c r="Y60" i="1"/>
  <c r="AF60" i="1"/>
  <c r="X60" i="1"/>
  <c r="AB60" i="1"/>
  <c r="W60" i="1"/>
  <c r="AH60" i="1"/>
  <c r="AJ60" i="1"/>
  <c r="A61" i="1"/>
  <c r="V67" i="1"/>
  <c r="AD67" i="1"/>
  <c r="T68" i="1"/>
  <c r="T69" i="1" s="1"/>
  <c r="AA69" i="1" s="1"/>
  <c r="AA67" i="1"/>
  <c r="AE67" i="1"/>
  <c r="AK61" i="1" l="1"/>
  <c r="Z61" i="1"/>
  <c r="V69" i="1"/>
  <c r="X61" i="1"/>
  <c r="AJ61" i="1"/>
  <c r="Y61" i="1"/>
  <c r="AF61" i="1"/>
  <c r="AG61" i="1"/>
  <c r="AB61" i="1"/>
  <c r="AH61" i="1"/>
  <c r="W61" i="1"/>
  <c r="A62" i="1"/>
  <c r="T70" i="1"/>
  <c r="T71" i="1" s="1"/>
  <c r="V68" i="1"/>
  <c r="AA68" i="1"/>
  <c r="AE68" i="1"/>
  <c r="AC68" i="1"/>
  <c r="AD69" i="1"/>
  <c r="AE69" i="1"/>
  <c r="AD68" i="1"/>
  <c r="AC69" i="1"/>
  <c r="AK62" i="1" l="1"/>
  <c r="Z62" i="1"/>
  <c r="AC70" i="1"/>
  <c r="AD70" i="1"/>
  <c r="AE70" i="1"/>
  <c r="V70" i="1"/>
  <c r="AA70" i="1"/>
  <c r="AG62" i="1"/>
  <c r="AH62" i="1"/>
  <c r="W62" i="1"/>
  <c r="X62" i="1"/>
  <c r="AJ62" i="1"/>
  <c r="AB62" i="1"/>
  <c r="AF62" i="1"/>
  <c r="Y62" i="1"/>
  <c r="A63" i="1"/>
  <c r="T72" i="1"/>
  <c r="AE71" i="1"/>
  <c r="V71" i="1"/>
  <c r="AA71" i="1"/>
  <c r="T73" i="1"/>
  <c r="T74" i="1" s="1"/>
  <c r="AD74" i="1" s="1"/>
  <c r="AC71" i="1"/>
  <c r="AD71" i="1"/>
  <c r="AK63" i="1" l="1"/>
  <c r="Z63" i="1"/>
  <c r="AG63" i="1"/>
  <c r="W63" i="1"/>
  <c r="X63" i="1"/>
  <c r="AH63" i="1"/>
  <c r="AJ63" i="1"/>
  <c r="Y63" i="1"/>
  <c r="AF63" i="1"/>
  <c r="AB63" i="1"/>
  <c r="A64" i="1"/>
  <c r="Z64" i="1" s="1"/>
  <c r="AA74" i="1"/>
  <c r="AC74" i="1"/>
  <c r="AE73" i="1"/>
  <c r="AC73" i="1"/>
  <c r="V73" i="1"/>
  <c r="AA73" i="1"/>
  <c r="AD73" i="1"/>
  <c r="AE74" i="1"/>
  <c r="T75" i="1"/>
  <c r="AE75" i="1" s="1"/>
  <c r="V74" i="1"/>
  <c r="AE72" i="1"/>
  <c r="V72" i="1"/>
  <c r="AD72" i="1"/>
  <c r="AC72" i="1"/>
  <c r="AA72" i="1"/>
  <c r="A65" i="1" l="1"/>
  <c r="AK64" i="1"/>
  <c r="A66" i="1"/>
  <c r="AF65" i="1"/>
  <c r="X65" i="1"/>
  <c r="Y65" i="1"/>
  <c r="AJ65" i="1"/>
  <c r="W65" i="1"/>
  <c r="AG65" i="1"/>
  <c r="AH65" i="1"/>
  <c r="AB65" i="1"/>
  <c r="Y64" i="1"/>
  <c r="AF64" i="1"/>
  <c r="AB64" i="1"/>
  <c r="AH64" i="1"/>
  <c r="AG64" i="1"/>
  <c r="X64" i="1"/>
  <c r="W64" i="1"/>
  <c r="AJ64" i="1"/>
  <c r="AA75" i="1"/>
  <c r="AD75" i="1"/>
  <c r="T76" i="1"/>
  <c r="AD76" i="1" s="1"/>
  <c r="AC75" i="1"/>
  <c r="V75" i="1"/>
  <c r="AK66" i="1" l="1"/>
  <c r="Z66" i="1"/>
  <c r="AK65" i="1"/>
  <c r="Z65" i="1"/>
  <c r="A67" i="1"/>
  <c r="AF66" i="1"/>
  <c r="AJ66" i="1"/>
  <c r="AB66" i="1"/>
  <c r="W66" i="1"/>
  <c r="Y66" i="1"/>
  <c r="X66" i="1"/>
  <c r="AH66" i="1"/>
  <c r="AG66" i="1"/>
  <c r="AE76" i="1"/>
  <c r="AA76" i="1"/>
  <c r="V76" i="1"/>
  <c r="AC76" i="1"/>
  <c r="T77" i="1"/>
  <c r="AK67" i="1" l="1"/>
  <c r="Z67" i="1"/>
  <c r="AG67" i="1"/>
  <c r="X67" i="1"/>
  <c r="W67" i="1"/>
  <c r="AB67" i="1"/>
  <c r="AF67" i="1"/>
  <c r="AH67" i="1"/>
  <c r="AJ67" i="1"/>
  <c r="Y67" i="1"/>
  <c r="A68" i="1"/>
  <c r="Z68" i="1" s="1"/>
  <c r="AD77" i="1"/>
  <c r="V77" i="1"/>
  <c r="AE77" i="1"/>
  <c r="AC77" i="1"/>
  <c r="T78" i="1"/>
  <c r="AA77" i="1"/>
  <c r="A69" i="1" l="1"/>
  <c r="AK68" i="1"/>
  <c r="AG69" i="1"/>
  <c r="AF69" i="1"/>
  <c r="AJ69" i="1"/>
  <c r="Y69" i="1"/>
  <c r="X69" i="1"/>
  <c r="AB69" i="1"/>
  <c r="AH69" i="1"/>
  <c r="W69" i="1"/>
  <c r="AF68" i="1"/>
  <c r="W68" i="1"/>
  <c r="AG68" i="1"/>
  <c r="X68" i="1"/>
  <c r="AB68" i="1"/>
  <c r="Y68" i="1"/>
  <c r="AJ68" i="1"/>
  <c r="AH68" i="1"/>
  <c r="A70" i="1"/>
  <c r="Z70" i="1" s="1"/>
  <c r="AD78" i="1"/>
  <c r="AC78" i="1"/>
  <c r="V78" i="1"/>
  <c r="T79" i="1"/>
  <c r="AE78" i="1"/>
  <c r="AA78" i="1"/>
  <c r="AK69" i="1" l="1"/>
  <c r="Z69" i="1"/>
  <c r="A71" i="1"/>
  <c r="AF71" i="1" s="1"/>
  <c r="AK70" i="1"/>
  <c r="Y70" i="1"/>
  <c r="AF70" i="1"/>
  <c r="AG70" i="1"/>
  <c r="AH70" i="1"/>
  <c r="AB70" i="1"/>
  <c r="W70" i="1"/>
  <c r="X70" i="1"/>
  <c r="AJ70" i="1"/>
  <c r="W71" i="1"/>
  <c r="AB71" i="1"/>
  <c r="X71" i="1"/>
  <c r="A72" i="1"/>
  <c r="T80" i="1"/>
  <c r="AD79" i="1"/>
  <c r="AE79" i="1"/>
  <c r="AC79" i="1"/>
  <c r="AA79" i="1"/>
  <c r="V79" i="1"/>
  <c r="AH71" i="1" l="1"/>
  <c r="AJ71" i="1"/>
  <c r="AG71" i="1"/>
  <c r="AK72" i="1"/>
  <c r="Z72" i="1"/>
  <c r="AK71" i="1"/>
  <c r="Z71" i="1"/>
  <c r="Y71" i="1"/>
  <c r="AG72" i="1"/>
  <c r="AH72" i="1"/>
  <c r="AB72" i="1"/>
  <c r="AJ72" i="1"/>
  <c r="X72" i="1"/>
  <c r="Y72" i="1"/>
  <c r="W72" i="1"/>
  <c r="AF72" i="1"/>
  <c r="A73" i="1"/>
  <c r="AD80" i="1"/>
  <c r="AE80" i="1"/>
  <c r="AC80" i="1"/>
  <c r="AA80" i="1"/>
  <c r="V80" i="1"/>
  <c r="T81" i="1"/>
  <c r="AK73" i="1" l="1"/>
  <c r="Z73" i="1"/>
  <c r="Y73" i="1"/>
  <c r="AJ73" i="1"/>
  <c r="X73" i="1"/>
  <c r="AB73" i="1"/>
  <c r="W73" i="1"/>
  <c r="AF73" i="1"/>
  <c r="AH73" i="1"/>
  <c r="AG73" i="1"/>
  <c r="A74" i="1"/>
  <c r="AE81" i="1"/>
  <c r="AA81" i="1"/>
  <c r="AD81" i="1"/>
  <c r="AC81" i="1"/>
  <c r="V81" i="1"/>
  <c r="T82" i="1"/>
  <c r="AK74" i="1" l="1"/>
  <c r="Z74" i="1"/>
  <c r="AB74" i="1"/>
  <c r="AF74" i="1"/>
  <c r="AJ74" i="1"/>
  <c r="X74" i="1"/>
  <c r="AH74" i="1"/>
  <c r="AG74" i="1"/>
  <c r="Y74" i="1"/>
  <c r="W74" i="1"/>
  <c r="A75" i="1"/>
  <c r="T83" i="1"/>
  <c r="T84" i="1" s="1"/>
  <c r="AC82" i="1"/>
  <c r="AE82" i="1"/>
  <c r="V82" i="1"/>
  <c r="AA82" i="1"/>
  <c r="AD82" i="1"/>
  <c r="AK75" i="1" l="1"/>
  <c r="Z75" i="1"/>
  <c r="X75" i="1"/>
  <c r="Y75" i="1"/>
  <c r="AH75" i="1"/>
  <c r="AB75" i="1"/>
  <c r="W75" i="1"/>
  <c r="AJ75" i="1"/>
  <c r="AF75" i="1"/>
  <c r="AG75" i="1"/>
  <c r="A76" i="1"/>
  <c r="T85" i="1"/>
  <c r="V84" i="1"/>
  <c r="AE84" i="1"/>
  <c r="AC84" i="1"/>
  <c r="AA84" i="1"/>
  <c r="AD84" i="1"/>
  <c r="V83" i="1"/>
  <c r="AC83" i="1"/>
  <c r="AD83" i="1"/>
  <c r="AE83" i="1"/>
  <c r="AA83" i="1"/>
  <c r="AK76" i="1" l="1"/>
  <c r="Z76" i="1"/>
  <c r="AJ76" i="1"/>
  <c r="AG76" i="1"/>
  <c r="X76" i="1"/>
  <c r="AF76" i="1"/>
  <c r="Y76" i="1"/>
  <c r="W76" i="1"/>
  <c r="AB76" i="1"/>
  <c r="AH76" i="1"/>
  <c r="A77" i="1"/>
  <c r="T86" i="1"/>
  <c r="V85" i="1"/>
  <c r="AC85" i="1"/>
  <c r="AD85" i="1"/>
  <c r="AE85" i="1"/>
  <c r="AA85" i="1"/>
  <c r="AK77" i="1" l="1"/>
  <c r="Z77" i="1"/>
  <c r="AG77" i="1"/>
  <c r="AF77" i="1"/>
  <c r="W77" i="1"/>
  <c r="Y77" i="1"/>
  <c r="AJ77" i="1"/>
  <c r="AH77" i="1"/>
  <c r="X77" i="1"/>
  <c r="AB77" i="1"/>
  <c r="A78" i="1"/>
  <c r="V86" i="1"/>
  <c r="AA86" i="1"/>
  <c r="AD86" i="1"/>
  <c r="AE86" i="1"/>
  <c r="AC86" i="1"/>
  <c r="T87" i="1"/>
  <c r="AK78" i="1" l="1"/>
  <c r="Z78" i="1"/>
  <c r="AB78" i="1"/>
  <c r="Y78" i="1"/>
  <c r="AJ78" i="1"/>
  <c r="AF78" i="1"/>
  <c r="AG78" i="1"/>
  <c r="W78" i="1"/>
  <c r="AH78" i="1"/>
  <c r="X78" i="1"/>
  <c r="A79" i="1"/>
  <c r="T88" i="1"/>
  <c r="AA87" i="1"/>
  <c r="V87" i="1"/>
  <c r="AE87" i="1"/>
  <c r="AC87" i="1"/>
  <c r="AD87" i="1"/>
  <c r="AK79" i="1" l="1"/>
  <c r="Z79" i="1"/>
  <c r="A80" i="1"/>
  <c r="AJ79" i="1"/>
  <c r="AF79" i="1"/>
  <c r="AG79" i="1"/>
  <c r="AH79" i="1"/>
  <c r="V88" i="1"/>
  <c r="AC88" i="1"/>
  <c r="AD88" i="1"/>
  <c r="AE88" i="1"/>
  <c r="AA88" i="1"/>
  <c r="T89" i="1"/>
  <c r="AK80" i="1" l="1"/>
  <c r="Z80" i="1"/>
  <c r="AF80" i="1"/>
  <c r="AJ80" i="1"/>
  <c r="W80" i="1"/>
  <c r="AG80" i="1"/>
  <c r="X80" i="1"/>
  <c r="Y80" i="1"/>
  <c r="AH80" i="1"/>
  <c r="A81" i="1"/>
  <c r="T90" i="1"/>
  <c r="T91" i="1" s="1"/>
  <c r="V89" i="1"/>
  <c r="AA89" i="1"/>
  <c r="AC89" i="1"/>
  <c r="AD89" i="1"/>
  <c r="AE89" i="1"/>
  <c r="AK81" i="1" l="1"/>
  <c r="Z81" i="1"/>
  <c r="AH81" i="1"/>
  <c r="W81" i="1"/>
  <c r="X81" i="1"/>
  <c r="AJ81" i="1"/>
  <c r="AG81" i="1"/>
  <c r="Y81" i="1"/>
  <c r="AB81" i="1"/>
  <c r="AF81" i="1"/>
  <c r="A82" i="1"/>
  <c r="T92" i="1"/>
  <c r="T93" i="1" s="1"/>
  <c r="AD91" i="1"/>
  <c r="AA91" i="1"/>
  <c r="AE91" i="1"/>
  <c r="AC91" i="1"/>
  <c r="V91" i="1"/>
  <c r="V90" i="1"/>
  <c r="AD90" i="1"/>
  <c r="AE90" i="1"/>
  <c r="AC90" i="1"/>
  <c r="AA90" i="1"/>
  <c r="AK82" i="1" l="1"/>
  <c r="Z82" i="1"/>
  <c r="AG82" i="1"/>
  <c r="AJ82" i="1"/>
  <c r="X82" i="1"/>
  <c r="AF82" i="1"/>
  <c r="AH82" i="1"/>
  <c r="Y82" i="1"/>
  <c r="W82" i="1"/>
  <c r="A83" i="1"/>
  <c r="Z83" i="1" s="1"/>
  <c r="T94" i="1"/>
  <c r="AC94" i="1" s="1"/>
  <c r="AA93" i="1"/>
  <c r="AD93" i="1"/>
  <c r="AE93" i="1"/>
  <c r="AC93" i="1"/>
  <c r="V93" i="1"/>
  <c r="AE92" i="1"/>
  <c r="V92" i="1"/>
  <c r="AC92" i="1"/>
  <c r="AD92" i="1"/>
  <c r="AA92" i="1"/>
  <c r="A84" i="1" l="1"/>
  <c r="AK83" i="1"/>
  <c r="AG83" i="1"/>
  <c r="AF83" i="1"/>
  <c r="AB83" i="1"/>
  <c r="X83" i="1"/>
  <c r="Y83" i="1"/>
  <c r="AH83" i="1"/>
  <c r="W83" i="1"/>
  <c r="AJ83" i="1"/>
  <c r="AG84" i="1"/>
  <c r="X84" i="1"/>
  <c r="AB84" i="1"/>
  <c r="AH84" i="1"/>
  <c r="AJ84" i="1"/>
  <c r="AF84" i="1"/>
  <c r="W84" i="1"/>
  <c r="Y84" i="1"/>
  <c r="A85" i="1"/>
  <c r="AA94" i="1"/>
  <c r="V94" i="1"/>
  <c r="T97" i="1"/>
  <c r="T98" i="1" s="1"/>
  <c r="AD98" i="1" s="1"/>
  <c r="AE94" i="1"/>
  <c r="AD94" i="1"/>
  <c r="AK85" i="1" l="1"/>
  <c r="Z85" i="1"/>
  <c r="AK84" i="1"/>
  <c r="Z84" i="1"/>
  <c r="AF85" i="1"/>
  <c r="AG85" i="1"/>
  <c r="X85" i="1"/>
  <c r="W85" i="1"/>
  <c r="AH85" i="1"/>
  <c r="AJ85" i="1"/>
  <c r="Y85" i="1"/>
  <c r="AB85" i="1"/>
  <c r="AE98" i="1"/>
  <c r="AA97" i="1"/>
  <c r="AD97" i="1"/>
  <c r="V97" i="1"/>
  <c r="V98" i="1"/>
  <c r="AC97" i="1"/>
  <c r="T99" i="1"/>
  <c r="T100" i="1" s="1"/>
  <c r="T101" i="1" s="1"/>
  <c r="AC101" i="1" s="1"/>
  <c r="AA98" i="1"/>
  <c r="AC98" i="1"/>
  <c r="AE97" i="1"/>
  <c r="A86" i="1"/>
  <c r="AE100" i="1"/>
  <c r="AK86" i="1" l="1"/>
  <c r="Z86" i="1"/>
  <c r="AD100" i="1"/>
  <c r="AC100" i="1"/>
  <c r="T102" i="1"/>
  <c r="AD102" i="1" s="1"/>
  <c r="V99" i="1"/>
  <c r="AA99" i="1"/>
  <c r="AE99" i="1"/>
  <c r="AD99" i="1"/>
  <c r="AC99" i="1"/>
  <c r="V101" i="1"/>
  <c r="AA101" i="1"/>
  <c r="AG86" i="1"/>
  <c r="Y86" i="1"/>
  <c r="AB86" i="1"/>
  <c r="AH86" i="1"/>
  <c r="AF86" i="1"/>
  <c r="AJ86" i="1"/>
  <c r="W86" i="1"/>
  <c r="X86" i="1"/>
  <c r="AE101" i="1"/>
  <c r="AD101" i="1"/>
  <c r="V100" i="1"/>
  <c r="T103" i="1"/>
  <c r="AD103" i="1" s="1"/>
  <c r="AA100" i="1"/>
  <c r="AA102" i="1"/>
  <c r="A87" i="1"/>
  <c r="AE102" i="1"/>
  <c r="AC102" i="1"/>
  <c r="V102" i="1"/>
  <c r="AK87" i="1" l="1"/>
  <c r="Z87" i="1"/>
  <c r="AC103" i="1"/>
  <c r="AE103" i="1"/>
  <c r="T104" i="1"/>
  <c r="AC104" i="1" s="1"/>
  <c r="AA103" i="1"/>
  <c r="V103" i="1"/>
  <c r="W87" i="1"/>
  <c r="AB87" i="1"/>
  <c r="AH87" i="1"/>
  <c r="Y87" i="1"/>
  <c r="X87" i="1"/>
  <c r="AG87" i="1"/>
  <c r="AF87" i="1"/>
  <c r="AJ87" i="1"/>
  <c r="A88" i="1"/>
  <c r="V104" i="1"/>
  <c r="AA104" i="1"/>
  <c r="AE104" i="1"/>
  <c r="AD104" i="1"/>
  <c r="T105" i="1"/>
  <c r="AK88" i="1" l="1"/>
  <c r="Z88" i="1"/>
  <c r="AH88" i="1"/>
  <c r="AF88" i="1"/>
  <c r="AJ88" i="1"/>
  <c r="AG88" i="1"/>
  <c r="A89" i="1"/>
  <c r="AC105" i="1"/>
  <c r="AA105" i="1"/>
  <c r="AE105" i="1"/>
  <c r="AD105" i="1"/>
  <c r="V105" i="1"/>
  <c r="T106" i="1"/>
  <c r="AK89" i="1" l="1"/>
  <c r="Z89" i="1"/>
  <c r="A90" i="1"/>
  <c r="AJ89" i="1"/>
  <c r="AF89" i="1"/>
  <c r="W89" i="1"/>
  <c r="AG89" i="1"/>
  <c r="AH89" i="1"/>
  <c r="X89" i="1"/>
  <c r="Y89" i="1"/>
  <c r="AB89" i="1"/>
  <c r="A91" i="1"/>
  <c r="AE106" i="1"/>
  <c r="AA106" i="1"/>
  <c r="AC106" i="1"/>
  <c r="V106" i="1"/>
  <c r="AD106" i="1"/>
  <c r="T107" i="1"/>
  <c r="T108" i="1" s="1"/>
  <c r="AK91" i="1" l="1"/>
  <c r="Z91" i="1"/>
  <c r="AK90" i="1"/>
  <c r="Z90" i="1"/>
  <c r="Y90" i="1"/>
  <c r="W90" i="1"/>
  <c r="AG90" i="1"/>
  <c r="AF90" i="1"/>
  <c r="X90" i="1"/>
  <c r="AH90" i="1"/>
  <c r="AB90" i="1"/>
  <c r="AJ90" i="1"/>
  <c r="AG91" i="1"/>
  <c r="AJ91" i="1"/>
  <c r="AH91" i="1"/>
  <c r="Y91" i="1"/>
  <c r="X91" i="1"/>
  <c r="W91" i="1"/>
  <c r="AF91" i="1"/>
  <c r="A92" i="1"/>
  <c r="AC107" i="1"/>
  <c r="V107" i="1"/>
  <c r="AA107" i="1"/>
  <c r="AE107" i="1"/>
  <c r="AD107" i="1"/>
  <c r="T109" i="1"/>
  <c r="AC108" i="1"/>
  <c r="AA108" i="1"/>
  <c r="V108" i="1"/>
  <c r="AE108" i="1"/>
  <c r="AD108" i="1"/>
  <c r="AK92" i="1" l="1"/>
  <c r="Z92" i="1"/>
  <c r="AG92" i="1"/>
  <c r="AF92" i="1"/>
  <c r="X92" i="1"/>
  <c r="W92" i="1"/>
  <c r="AH92" i="1"/>
  <c r="Y92" i="1"/>
  <c r="AJ92" i="1"/>
  <c r="AB92" i="1"/>
  <c r="A93" i="1"/>
  <c r="AC109" i="1"/>
  <c r="AE109" i="1"/>
  <c r="V109" i="1"/>
  <c r="AA109" i="1"/>
  <c r="AD109" i="1"/>
  <c r="T110" i="1"/>
  <c r="AK93" i="1" l="1"/>
  <c r="Z93" i="1"/>
  <c r="AG93" i="1"/>
  <c r="AB93" i="1"/>
  <c r="Y93" i="1"/>
  <c r="AF93" i="1"/>
  <c r="AJ93" i="1"/>
  <c r="W93" i="1"/>
  <c r="AH93" i="1"/>
  <c r="X93" i="1"/>
  <c r="A94" i="1"/>
  <c r="AC110" i="1"/>
  <c r="AE110" i="1"/>
  <c r="AD110" i="1"/>
  <c r="V110" i="1"/>
  <c r="AA110" i="1"/>
  <c r="T111" i="1"/>
  <c r="AK94" i="1" l="1"/>
  <c r="Z94" i="1"/>
  <c r="AG94" i="1"/>
  <c r="Y94" i="1"/>
  <c r="AH94" i="1"/>
  <c r="W94" i="1"/>
  <c r="AJ94" i="1"/>
  <c r="AF94" i="1"/>
  <c r="X94" i="1"/>
  <c r="A97" i="1"/>
  <c r="Z97" i="1" s="1"/>
  <c r="AC111" i="1"/>
  <c r="V111" i="1"/>
  <c r="AA111" i="1"/>
  <c r="AD111" i="1"/>
  <c r="AE111" i="1"/>
  <c r="T112" i="1"/>
  <c r="A98" i="1" l="1"/>
  <c r="AK97" i="1"/>
  <c r="AB98" i="1"/>
  <c r="AH98" i="1"/>
  <c r="AJ98" i="1"/>
  <c r="W98" i="1"/>
  <c r="X98" i="1"/>
  <c r="Y98" i="1"/>
  <c r="AF98" i="1"/>
  <c r="AG98" i="1"/>
  <c r="AG97" i="1"/>
  <c r="W97" i="1"/>
  <c r="AH97" i="1"/>
  <c r="X97" i="1"/>
  <c r="Y97" i="1"/>
  <c r="AJ97" i="1"/>
  <c r="AF97" i="1"/>
  <c r="A99" i="1"/>
  <c r="Z99" i="1" s="1"/>
  <c r="AC112" i="1"/>
  <c r="AD112" i="1"/>
  <c r="V112" i="1"/>
  <c r="AA112" i="1"/>
  <c r="AE112" i="1"/>
  <c r="T113" i="1"/>
  <c r="AK98" i="1" l="1"/>
  <c r="Z98" i="1"/>
  <c r="A100" i="1"/>
  <c r="AK99" i="1"/>
  <c r="AG100" i="1"/>
  <c r="X100" i="1"/>
  <c r="Y100" i="1"/>
  <c r="AJ100" i="1"/>
  <c r="AB100" i="1"/>
  <c r="AF100" i="1"/>
  <c r="AH100" i="1"/>
  <c r="W100" i="1"/>
  <c r="X99" i="1"/>
  <c r="AB99" i="1"/>
  <c r="AF99" i="1"/>
  <c r="Y99" i="1"/>
  <c r="W99" i="1"/>
  <c r="AH99" i="1"/>
  <c r="AG99" i="1"/>
  <c r="AJ99" i="1"/>
  <c r="T114" i="1"/>
  <c r="T115" i="1" s="1"/>
  <c r="AC113" i="1"/>
  <c r="V113" i="1"/>
  <c r="AE113" i="1"/>
  <c r="AD113" i="1"/>
  <c r="AA113" i="1"/>
  <c r="AK100" i="1" l="1"/>
  <c r="Z100" i="1"/>
  <c r="A101" i="1"/>
  <c r="AG101" i="1" s="1"/>
  <c r="X101" i="1"/>
  <c r="Y101" i="1"/>
  <c r="AJ101" i="1"/>
  <c r="AB101" i="1"/>
  <c r="AF101" i="1"/>
  <c r="AH101" i="1"/>
  <c r="A102" i="1"/>
  <c r="Z102" i="1" s="1"/>
  <c r="AC114" i="1"/>
  <c r="AE114" i="1"/>
  <c r="AD114" i="1"/>
  <c r="V114" i="1"/>
  <c r="AA114" i="1"/>
  <c r="T116" i="1"/>
  <c r="AC116" i="1" s="1"/>
  <c r="AA115" i="1"/>
  <c r="AD115" i="1"/>
  <c r="V115" i="1"/>
  <c r="AE115" i="1"/>
  <c r="AC115" i="1"/>
  <c r="W101" i="1" l="1"/>
  <c r="AK101" i="1"/>
  <c r="Z101" i="1"/>
  <c r="A103" i="1"/>
  <c r="AH103" i="1" s="1"/>
  <c r="AK102" i="1"/>
  <c r="AG102" i="1"/>
  <c r="AF102" i="1"/>
  <c r="X102" i="1"/>
  <c r="W102" i="1"/>
  <c r="AJ102" i="1"/>
  <c r="Y102" i="1"/>
  <c r="AH102" i="1"/>
  <c r="AG103" i="1"/>
  <c r="Y103" i="1"/>
  <c r="A104" i="1"/>
  <c r="AA116" i="1"/>
  <c r="V116" i="1"/>
  <c r="AD116" i="1"/>
  <c r="AE116" i="1"/>
  <c r="T117" i="1"/>
  <c r="AA117" i="1" s="1"/>
  <c r="AF103" i="1" l="1"/>
  <c r="AJ103" i="1"/>
  <c r="W103" i="1"/>
  <c r="AK104" i="1"/>
  <c r="Z104" i="1"/>
  <c r="AK103" i="1"/>
  <c r="Z103" i="1"/>
  <c r="X103" i="1"/>
  <c r="AJ104" i="1"/>
  <c r="AF104" i="1"/>
  <c r="AG104" i="1"/>
  <c r="Y104" i="1"/>
  <c r="AB104" i="1"/>
  <c r="W104" i="1"/>
  <c r="AH104" i="1"/>
  <c r="X104" i="1"/>
  <c r="A105" i="1"/>
  <c r="Z105" i="1" s="1"/>
  <c r="T118" i="1"/>
  <c r="T119" i="1" s="1"/>
  <c r="AD119" i="1" s="1"/>
  <c r="AD117" i="1"/>
  <c r="V117" i="1"/>
  <c r="AC117" i="1"/>
  <c r="AE117" i="1"/>
  <c r="A106" i="1" l="1"/>
  <c r="AK105" i="1"/>
  <c r="AE118" i="1"/>
  <c r="V119" i="1"/>
  <c r="AA119" i="1"/>
  <c r="AC119" i="1"/>
  <c r="AC118" i="1"/>
  <c r="AD118" i="1"/>
  <c r="V118" i="1"/>
  <c r="AE119" i="1"/>
  <c r="AA118" i="1"/>
  <c r="AH106" i="1"/>
  <c r="AG106" i="1"/>
  <c r="W106" i="1"/>
  <c r="AF106" i="1"/>
  <c r="X106" i="1"/>
  <c r="Y106" i="1"/>
  <c r="AJ106" i="1"/>
  <c r="T120" i="1"/>
  <c r="AC120" i="1" s="1"/>
  <c r="AF105" i="1"/>
  <c r="AJ105" i="1"/>
  <c r="AB105" i="1"/>
  <c r="Y105" i="1"/>
  <c r="AH105" i="1"/>
  <c r="AG105" i="1"/>
  <c r="W105" i="1"/>
  <c r="X105" i="1"/>
  <c r="A107" i="1"/>
  <c r="AK107" i="1" l="1"/>
  <c r="Z107" i="1"/>
  <c r="AK106" i="1"/>
  <c r="Z106" i="1"/>
  <c r="AA120" i="1"/>
  <c r="T121" i="1"/>
  <c r="T122" i="1" s="1"/>
  <c r="AE122" i="1" s="1"/>
  <c r="A108" i="1"/>
  <c r="AE120" i="1"/>
  <c r="AB107" i="1"/>
  <c r="AH107" i="1"/>
  <c r="AF107" i="1"/>
  <c r="X107" i="1"/>
  <c r="W107" i="1"/>
  <c r="AG107" i="1"/>
  <c r="Y107" i="1"/>
  <c r="AJ107" i="1"/>
  <c r="AD120" i="1"/>
  <c r="V120" i="1"/>
  <c r="AK108" i="1" l="1"/>
  <c r="Z108" i="1"/>
  <c r="AC121" i="1"/>
  <c r="V122" i="1"/>
  <c r="AD122" i="1"/>
  <c r="AA122" i="1"/>
  <c r="T123" i="1"/>
  <c r="AA123" i="1" s="1"/>
  <c r="AD121" i="1"/>
  <c r="AE121" i="1"/>
  <c r="V121" i="1"/>
  <c r="AC122" i="1"/>
  <c r="AA121" i="1"/>
  <c r="AB108" i="1"/>
  <c r="AH108" i="1"/>
  <c r="Y108" i="1"/>
  <c r="AG108" i="1"/>
  <c r="AF108" i="1"/>
  <c r="W108" i="1"/>
  <c r="AJ108" i="1"/>
  <c r="X108" i="1"/>
  <c r="A109" i="1"/>
  <c r="AE123" i="1"/>
  <c r="T124" i="1"/>
  <c r="T125" i="1" s="1"/>
  <c r="V125" i="1" s="1"/>
  <c r="AD123" i="1"/>
  <c r="AK109" i="1" l="1"/>
  <c r="Z109" i="1"/>
  <c r="V123" i="1"/>
  <c r="AC123" i="1"/>
  <c r="T126" i="1"/>
  <c r="T127" i="1" s="1"/>
  <c r="AD125" i="1"/>
  <c r="AC125" i="1"/>
  <c r="AC124" i="1"/>
  <c r="AE125" i="1"/>
  <c r="V124" i="1"/>
  <c r="AG109" i="1"/>
  <c r="X109" i="1"/>
  <c r="AF109" i="1"/>
  <c r="Y109" i="1"/>
  <c r="AJ109" i="1"/>
  <c r="W109" i="1"/>
  <c r="AB109" i="1"/>
  <c r="AH109" i="1"/>
  <c r="A110" i="1"/>
  <c r="Z110" i="1" s="1"/>
  <c r="AD124" i="1"/>
  <c r="AA125" i="1"/>
  <c r="AE124" i="1"/>
  <c r="AA124" i="1"/>
  <c r="AC126" i="1"/>
  <c r="AA126" i="1"/>
  <c r="V126" i="1"/>
  <c r="AE126" i="1"/>
  <c r="AD126" i="1" l="1"/>
  <c r="A111" i="1"/>
  <c r="W111" i="1" s="1"/>
  <c r="AK110" i="1"/>
  <c r="Y110" i="1"/>
  <c r="AJ110" i="1"/>
  <c r="W110" i="1"/>
  <c r="AF110" i="1"/>
  <c r="AG110" i="1"/>
  <c r="AB110" i="1"/>
  <c r="X110" i="1"/>
  <c r="AH110" i="1"/>
  <c r="AB111" i="1"/>
  <c r="AH111" i="1"/>
  <c r="Y111" i="1"/>
  <c r="AF111" i="1"/>
  <c r="AG111" i="1"/>
  <c r="X111" i="1"/>
  <c r="AJ111" i="1"/>
  <c r="A112" i="1"/>
  <c r="T128" i="1"/>
  <c r="AC128" i="1" s="1"/>
  <c r="V127" i="1"/>
  <c r="AD127" i="1"/>
  <c r="AA127" i="1"/>
  <c r="AE127" i="1"/>
  <c r="AC127" i="1"/>
  <c r="AK112" i="1" l="1"/>
  <c r="Z112" i="1"/>
  <c r="AK111" i="1"/>
  <c r="Z111" i="1"/>
  <c r="V128" i="1"/>
  <c r="AA128" i="1"/>
  <c r="AJ112" i="1"/>
  <c r="X112" i="1"/>
  <c r="Y112" i="1"/>
  <c r="AG112" i="1"/>
  <c r="AH112" i="1"/>
  <c r="W112" i="1"/>
  <c r="AF112" i="1"/>
  <c r="AB112" i="1"/>
  <c r="AE128" i="1"/>
  <c r="T129" i="1"/>
  <c r="AE129" i="1" s="1"/>
  <c r="AD128" i="1"/>
  <c r="A113" i="1"/>
  <c r="AK113" i="1" l="1"/>
  <c r="Z113" i="1"/>
  <c r="AC129" i="1"/>
  <c r="T130" i="1"/>
  <c r="AC130" i="1" s="1"/>
  <c r="AA129" i="1"/>
  <c r="V129" i="1"/>
  <c r="AD129" i="1"/>
  <c r="AJ113" i="1"/>
  <c r="AG113" i="1"/>
  <c r="AH113" i="1"/>
  <c r="W113" i="1"/>
  <c r="AF113" i="1"/>
  <c r="Y113" i="1"/>
  <c r="X113" i="1"/>
  <c r="AB113" i="1"/>
  <c r="A114" i="1"/>
  <c r="AA130" i="1"/>
  <c r="T131" i="1"/>
  <c r="AD131" i="1" s="1"/>
  <c r="AD130" i="1"/>
  <c r="V130" i="1"/>
  <c r="AE130" i="1"/>
  <c r="AK114" i="1" l="1"/>
  <c r="Z114" i="1"/>
  <c r="AF114" i="1"/>
  <c r="AG114" i="1"/>
  <c r="AJ114" i="1"/>
  <c r="Y114" i="1"/>
  <c r="AB114" i="1"/>
  <c r="AH114" i="1"/>
  <c r="W114" i="1"/>
  <c r="X114" i="1"/>
  <c r="A115" i="1"/>
  <c r="T132" i="1"/>
  <c r="T133" i="1" s="1"/>
  <c r="AA133" i="1" s="1"/>
  <c r="AA131" i="1"/>
  <c r="AC131" i="1"/>
  <c r="AE131" i="1"/>
  <c r="V131" i="1"/>
  <c r="AK115" i="1" l="1"/>
  <c r="Z115" i="1"/>
  <c r="X115" i="1"/>
  <c r="AJ115" i="1"/>
  <c r="AB115" i="1"/>
  <c r="W115" i="1"/>
  <c r="AH115" i="1"/>
  <c r="AF115" i="1"/>
  <c r="Y115" i="1"/>
  <c r="AG115" i="1"/>
  <c r="A116" i="1"/>
  <c r="AE133" i="1"/>
  <c r="AC132" i="1"/>
  <c r="AD133" i="1"/>
  <c r="AD132" i="1"/>
  <c r="V132" i="1"/>
  <c r="AA132" i="1"/>
  <c r="V133" i="1"/>
  <c r="AE132" i="1"/>
  <c r="T134" i="1"/>
  <c r="AE134" i="1" s="1"/>
  <c r="AC133" i="1"/>
  <c r="AK116" i="1" l="1"/>
  <c r="Z116" i="1"/>
  <c r="AH116" i="1"/>
  <c r="Y116" i="1"/>
  <c r="AJ116" i="1"/>
  <c r="AG116" i="1"/>
  <c r="X116" i="1"/>
  <c r="W116" i="1"/>
  <c r="AB116" i="1"/>
  <c r="AF116" i="1"/>
  <c r="A117" i="1"/>
  <c r="Z117" i="1" s="1"/>
  <c r="T135" i="1"/>
  <c r="AA135" i="1" s="1"/>
  <c r="AC134" i="1"/>
  <c r="AA134" i="1"/>
  <c r="AD134" i="1"/>
  <c r="V134" i="1"/>
  <c r="A118" i="1" l="1"/>
  <c r="AK117" i="1"/>
  <c r="X118" i="1"/>
  <c r="AB118" i="1"/>
  <c r="AF118" i="1"/>
  <c r="AG118" i="1"/>
  <c r="Y118" i="1"/>
  <c r="AJ118" i="1"/>
  <c r="AH118" i="1"/>
  <c r="W118" i="1"/>
  <c r="AG117" i="1"/>
  <c r="W117" i="1"/>
  <c r="Y117" i="1"/>
  <c r="AH117" i="1"/>
  <c r="AJ117" i="1"/>
  <c r="AF117" i="1"/>
  <c r="X117" i="1"/>
  <c r="A119" i="1"/>
  <c r="AD135" i="1"/>
  <c r="AC135" i="1"/>
  <c r="AE135" i="1"/>
  <c r="V135" i="1"/>
  <c r="T136" i="1"/>
  <c r="AE136" i="1" s="1"/>
  <c r="AK119" i="1" l="1"/>
  <c r="Z119" i="1"/>
  <c r="AK118" i="1"/>
  <c r="Z118" i="1"/>
  <c r="A120" i="1"/>
  <c r="AF119" i="1"/>
  <c r="X119" i="1"/>
  <c r="AG119" i="1"/>
  <c r="Y119" i="1"/>
  <c r="AH119" i="1"/>
  <c r="AB119" i="1"/>
  <c r="AJ119" i="1"/>
  <c r="W119" i="1"/>
  <c r="AD136" i="1"/>
  <c r="AC136" i="1"/>
  <c r="V136" i="1"/>
  <c r="AA136" i="1"/>
  <c r="T137" i="1"/>
  <c r="AK120" i="1" l="1"/>
  <c r="Z120" i="1"/>
  <c r="AG120" i="1"/>
  <c r="X120" i="1"/>
  <c r="AJ120" i="1"/>
  <c r="AH120" i="1"/>
  <c r="W120" i="1"/>
  <c r="Y120" i="1"/>
  <c r="AF120" i="1"/>
  <c r="A121" i="1"/>
  <c r="Z121" i="1" s="1"/>
  <c r="T138" i="1"/>
  <c r="T139" i="1" s="1"/>
  <c r="AA137" i="1"/>
  <c r="AE137" i="1"/>
  <c r="AD137" i="1"/>
  <c r="AC137" i="1"/>
  <c r="V137" i="1"/>
  <c r="A122" i="1" l="1"/>
  <c r="AK121" i="1"/>
  <c r="AB122" i="1"/>
  <c r="Y122" i="1"/>
  <c r="X122" i="1"/>
  <c r="AG122" i="1"/>
  <c r="AF122" i="1"/>
  <c r="AH122" i="1"/>
  <c r="W122" i="1"/>
  <c r="AJ122" i="1"/>
  <c r="AJ121" i="1"/>
  <c r="AB121" i="1"/>
  <c r="AH121" i="1"/>
  <c r="Y121" i="1"/>
  <c r="X121" i="1"/>
  <c r="W121" i="1"/>
  <c r="AG121" i="1"/>
  <c r="AF121" i="1"/>
  <c r="A123" i="1"/>
  <c r="AD139" i="1"/>
  <c r="V139" i="1"/>
  <c r="AC139" i="1"/>
  <c r="AE139" i="1"/>
  <c r="AA139" i="1"/>
  <c r="V138" i="1"/>
  <c r="AD138" i="1"/>
  <c r="AC138" i="1"/>
  <c r="AE138" i="1"/>
  <c r="AA138" i="1"/>
  <c r="T140" i="1"/>
  <c r="AK123" i="1" l="1"/>
  <c r="Z123" i="1"/>
  <c r="AK122" i="1"/>
  <c r="Z122" i="1"/>
  <c r="AB123" i="1"/>
  <c r="W123" i="1"/>
  <c r="Y123" i="1"/>
  <c r="AG123" i="1"/>
  <c r="AH123" i="1"/>
  <c r="AF123" i="1"/>
  <c r="X123" i="1"/>
  <c r="AJ123" i="1"/>
  <c r="A124" i="1"/>
  <c r="Z124" i="1" s="1"/>
  <c r="T141" i="1"/>
  <c r="AE140" i="1"/>
  <c r="AD140" i="1"/>
  <c r="AA140" i="1"/>
  <c r="AC140" i="1"/>
  <c r="V140" i="1"/>
  <c r="A125" i="1" l="1"/>
  <c r="AK124" i="1"/>
  <c r="A126" i="1"/>
  <c r="W125" i="1"/>
  <c r="AB125" i="1"/>
  <c r="Y125" i="1"/>
  <c r="AH125" i="1"/>
  <c r="AF125" i="1"/>
  <c r="AG125" i="1"/>
  <c r="AJ125" i="1"/>
  <c r="X125" i="1"/>
  <c r="AH124" i="1"/>
  <c r="AG124" i="1"/>
  <c r="W124" i="1"/>
  <c r="AJ124" i="1"/>
  <c r="X124" i="1"/>
  <c r="AB124" i="1"/>
  <c r="AF124" i="1"/>
  <c r="Y124" i="1"/>
  <c r="A127" i="1"/>
  <c r="Z127" i="1" s="1"/>
  <c r="T143" i="1"/>
  <c r="V143" i="1" s="1"/>
  <c r="AC141" i="1"/>
  <c r="AE141" i="1"/>
  <c r="AA141" i="1"/>
  <c r="V141" i="1"/>
  <c r="AD141" i="1"/>
  <c r="AK126" i="1" l="1"/>
  <c r="Z126" i="1"/>
  <c r="AK125" i="1"/>
  <c r="Z125" i="1"/>
  <c r="A128" i="1"/>
  <c r="A129" i="1" s="1"/>
  <c r="AK127" i="1"/>
  <c r="AG128" i="1"/>
  <c r="AH128" i="1"/>
  <c r="W128" i="1"/>
  <c r="AJ128" i="1"/>
  <c r="Y128" i="1"/>
  <c r="X128" i="1"/>
  <c r="AF127" i="1"/>
  <c r="X127" i="1"/>
  <c r="W127" i="1"/>
  <c r="AB127" i="1"/>
  <c r="AH127" i="1"/>
  <c r="AJ127" i="1"/>
  <c r="Y127" i="1"/>
  <c r="AG127" i="1"/>
  <c r="AF126" i="1"/>
  <c r="AB126" i="1"/>
  <c r="W126" i="1"/>
  <c r="AJ126" i="1"/>
  <c r="AH126" i="1"/>
  <c r="AG126" i="1"/>
  <c r="X126" i="1"/>
  <c r="Y126" i="1"/>
  <c r="AK128" i="1" l="1"/>
  <c r="Z128" i="1"/>
  <c r="AK129" i="1"/>
  <c r="Z129" i="1"/>
  <c r="AB128" i="1"/>
  <c r="AF128" i="1"/>
  <c r="A130" i="1"/>
  <c r="AH129" i="1"/>
  <c r="AB129" i="1"/>
  <c r="W129" i="1"/>
  <c r="Y129" i="1"/>
  <c r="AG129" i="1"/>
  <c r="X129" i="1"/>
  <c r="AJ129" i="1"/>
  <c r="AF129" i="1"/>
  <c r="AK130" i="1" l="1"/>
  <c r="Z130" i="1"/>
  <c r="AF130" i="1"/>
  <c r="AG130" i="1"/>
  <c r="AJ130" i="1"/>
  <c r="W130" i="1"/>
  <c r="Y130" i="1"/>
  <c r="X130" i="1"/>
  <c r="AB130" i="1"/>
  <c r="AH130" i="1"/>
  <c r="A131" i="1"/>
  <c r="Z131" i="1" s="1"/>
  <c r="A132" i="1" l="1"/>
  <c r="AK131" i="1"/>
  <c r="Y132" i="1"/>
  <c r="W132" i="1"/>
  <c r="AB132" i="1"/>
  <c r="AF132" i="1"/>
  <c r="AG132" i="1"/>
  <c r="X132" i="1"/>
  <c r="AJ132" i="1"/>
  <c r="AH132" i="1"/>
  <c r="AH131" i="1"/>
  <c r="X131" i="1"/>
  <c r="AJ131" i="1"/>
  <c r="Y131" i="1"/>
  <c r="AF131" i="1"/>
  <c r="AB131" i="1"/>
  <c r="AG131" i="1"/>
  <c r="W131" i="1"/>
  <c r="A133" i="1"/>
  <c r="Z133" i="1" s="1"/>
  <c r="AK132" i="1" l="1"/>
  <c r="Z132" i="1"/>
  <c r="A134" i="1"/>
  <c r="AB134" i="1" s="1"/>
  <c r="AK133" i="1"/>
  <c r="AG133" i="1"/>
  <c r="AB133" i="1"/>
  <c r="AJ133" i="1"/>
  <c r="Y133" i="1"/>
  <c r="AH133" i="1"/>
  <c r="X133" i="1"/>
  <c r="AF133" i="1"/>
  <c r="W133" i="1"/>
  <c r="AG134" i="1"/>
  <c r="W134" i="1"/>
  <c r="Y134" i="1"/>
  <c r="X134" i="1"/>
  <c r="AF134" i="1"/>
  <c r="AH134" i="1" l="1"/>
  <c r="AJ134" i="1"/>
  <c r="AK134" i="1"/>
  <c r="Z134" i="1"/>
  <c r="A135" i="1"/>
  <c r="AB135" i="1" s="1"/>
  <c r="X135" i="1"/>
  <c r="A136" i="1"/>
  <c r="Z136" i="1" s="1"/>
  <c r="W135" i="1" l="1"/>
  <c r="Y135" i="1"/>
  <c r="AF135" i="1"/>
  <c r="AJ135" i="1"/>
  <c r="AG135" i="1"/>
  <c r="AH135" i="1"/>
  <c r="AK135" i="1"/>
  <c r="Z135" i="1"/>
  <c r="A137" i="1"/>
  <c r="W137" i="1" s="1"/>
  <c r="AK136" i="1"/>
  <c r="AF137" i="1"/>
  <c r="AF136" i="1"/>
  <c r="AH136" i="1"/>
  <c r="Y136" i="1"/>
  <c r="AB136" i="1"/>
  <c r="X136" i="1"/>
  <c r="W136" i="1"/>
  <c r="AJ136" i="1"/>
  <c r="AG136" i="1"/>
  <c r="A138" i="1"/>
  <c r="X137" i="1" l="1"/>
  <c r="Y137" i="1"/>
  <c r="AB137" i="1"/>
  <c r="AJ137" i="1"/>
  <c r="AH137" i="1"/>
  <c r="AG137" i="1"/>
  <c r="AK137" i="1"/>
  <c r="Z137" i="1"/>
  <c r="AK138" i="1"/>
  <c r="Z138" i="1"/>
  <c r="Y138" i="1"/>
  <c r="W138" i="1"/>
  <c r="AH138" i="1"/>
  <c r="AG138" i="1"/>
  <c r="AB138" i="1"/>
  <c r="AJ138" i="1"/>
  <c r="AF138" i="1"/>
  <c r="X138" i="1"/>
  <c r="A139" i="1"/>
  <c r="AK139" i="1" l="1"/>
  <c r="Z139" i="1"/>
  <c r="AG139" i="1"/>
  <c r="Y139" i="1"/>
  <c r="AF139" i="1"/>
  <c r="AB139" i="1"/>
  <c r="W139" i="1"/>
  <c r="AH139" i="1"/>
  <c r="X139" i="1"/>
  <c r="AJ139" i="1"/>
  <c r="A140" i="1"/>
  <c r="AK140" i="1" l="1"/>
  <c r="Z140" i="1"/>
  <c r="AH140" i="1"/>
  <c r="AF140" i="1"/>
  <c r="AB140" i="1"/>
  <c r="X140" i="1"/>
  <c r="AG140" i="1"/>
  <c r="Y140" i="1"/>
  <c r="W140" i="1"/>
  <c r="AJ140" i="1"/>
  <c r="A141" i="1"/>
  <c r="Z141" i="1" s="1"/>
  <c r="A143" i="1" l="1"/>
  <c r="AK141" i="1"/>
  <c r="AJ141" i="1"/>
  <c r="AG141" i="1"/>
  <c r="Y141" i="1"/>
  <c r="X141" i="1"/>
  <c r="W141" i="1"/>
  <c r="AH141" i="1"/>
  <c r="AF141" i="1"/>
  <c r="AB141" i="1"/>
</calcChain>
</file>

<file path=xl/sharedStrings.xml><?xml version="1.0" encoding="utf-8"?>
<sst xmlns="http://schemas.openxmlformats.org/spreadsheetml/2006/main" count="720" uniqueCount="456">
  <si>
    <t>Наст.по умолчанию</t>
  </si>
  <si>
    <t>Диапазоны настроек (mix/max)</t>
  </si>
  <si>
    <t>НАЧИНАЯ С ЭТОЙ КОЛОНКИ СТРОЧКИ ЗАПОЛНЯЮТСЯ АВТОМАТИЧЕСКИ (если вы их скопировали из имеющихся и меняете значения)</t>
  </si>
  <si>
    <t>Constants.h</t>
  </si>
  <si>
    <t>UA</t>
  </si>
  <si>
    <t>EN</t>
  </si>
  <si>
    <t>RU</t>
  </si>
  <si>
    <t>effectTicker.ino</t>
  </si>
  <si>
    <t>effects.json @SlingMfster</t>
  </si>
  <si>
    <t>cycle.json action</t>
  </si>
  <si>
    <t>cycle.ru.json</t>
  </si>
  <si>
    <t>sound.ru.json</t>
  </si>
  <si>
    <t>effect.ru.json</t>
  </si>
  <si>
    <t>efflist1ru.ini</t>
  </si>
  <si>
    <t>№</t>
  </si>
  <si>
    <t>Имя константы</t>
  </si>
  <si>
    <t>ярк.</t>
  </si>
  <si>
    <t>скор.</t>
  </si>
  <si>
    <t>масш.</t>
  </si>
  <si>
    <t>скMin</t>
  </si>
  <si>
    <t>скMax</t>
  </si>
  <si>
    <t>маMin</t>
  </si>
  <si>
    <t>маMax</t>
  </si>
  <si>
    <t>цвет?</t>
  </si>
  <si>
    <t>Условие входа в процедуру отрисовки</t>
  </si>
  <si>
    <t>Процедура отрисовки</t>
  </si>
  <si>
    <t>Папка озвучивания</t>
  </si>
  <si>
    <t>Абсолютный № эффекта</t>
  </si>
  <si>
    <t>const String efList_1 = String("LIST1;") + // ======== ПЕРВАЯ СТРОКА ========</t>
  </si>
  <si>
    <t>{"json":[</t>
  </si>
  <si>
    <t>{</t>
  </si>
  <si>
    <t>До 106 эффектов ( 0 - 109 ) можно использовать строку внизу</t>
  </si>
  <si>
    <t>LIST1;</t>
  </si>
  <si>
    <t>WHITE_COLOR</t>
  </si>
  <si>
    <t>Бeлый cвeт</t>
  </si>
  <si>
    <t>HIGH_DELAY_TICK</t>
  </si>
  <si>
    <t>whiteColorStripeRoutine();</t>
  </si>
  <si>
    <t>WATERCOLOR</t>
  </si>
  <si>
    <t>Акварель</t>
  </si>
  <si>
    <t>DYNAMIC_DELAY_TICK</t>
  </si>
  <si>
    <t>Watercolor();</t>
  </si>
  <si>
    <t>EFF_POOL</t>
  </si>
  <si>
    <t>Бассейн</t>
  </si>
  <si>
    <t>poolRoutine();</t>
  </si>
  <si>
    <t>MADNESS</t>
  </si>
  <si>
    <t>Безумие</t>
  </si>
  <si>
    <t>madnessNoiseRoutine();</t>
  </si>
  <si>
    <t>WATERFALL</t>
  </si>
  <si>
    <t>Водопад</t>
  </si>
  <si>
    <t>fire2012WithPalette();</t>
  </si>
  <si>
    <t>WATERFALL_4IN1</t>
  </si>
  <si>
    <t>Водопад 4в1</t>
  </si>
  <si>
    <t>fire2012WithPalette4in1();</t>
  </si>
  <si>
    <t>WAVES</t>
  </si>
  <si>
    <t>Волны</t>
  </si>
  <si>
    <t>WaveRoutine();</t>
  </si>
  <si>
    <t>MAGICLANTERN</t>
  </si>
  <si>
    <t>Волшебный Фонарик</t>
  </si>
  <si>
    <t xml:space="preserve">MagicLantern(); </t>
  </si>
  <si>
    <t>WINE</t>
  </si>
  <si>
    <t>Вино</t>
  </si>
  <si>
    <t>colorsWine();</t>
  </si>
  <si>
    <t>WHIRL</t>
  </si>
  <si>
    <t>Вихри пламени</t>
  </si>
  <si>
    <t>whirlRoutine(true);</t>
  </si>
  <si>
    <t>WHIRL_MULTI</t>
  </si>
  <si>
    <t>Вихри разноцветные</t>
  </si>
  <si>
    <t>whirlRoutine(false);</t>
  </si>
  <si>
    <t>STARFALL</t>
  </si>
  <si>
    <t>Вьюга</t>
  </si>
  <si>
    <t>stormRoutine2();</t>
  </si>
  <si>
    <t>STORMY_RAIN</t>
  </si>
  <si>
    <t>Гроза в банке</t>
  </si>
  <si>
    <t>stormyRain();</t>
  </si>
  <si>
    <t>DNA</t>
  </si>
  <si>
    <t>ДНК</t>
  </si>
  <si>
    <t>LOW_DELAY_TICK</t>
  </si>
  <si>
    <t>DNARoutine();</t>
  </si>
  <si>
    <t>SMOKE</t>
  </si>
  <si>
    <t>Дым</t>
  </si>
  <si>
    <t>MultipleStreamSmoke(false);</t>
  </si>
  <si>
    <t>SMOKE_COLOR</t>
  </si>
  <si>
    <t>Дым разноцветный</t>
  </si>
  <si>
    <t>MultipleStreamSmoke(true);</t>
  </si>
  <si>
    <t>SMOKEBALLS</t>
  </si>
  <si>
    <t>Дымовые шашки</t>
  </si>
  <si>
    <t>smokeballsRoutine();</t>
  </si>
  <si>
    <t>LIQUIDLAMP</t>
  </si>
  <si>
    <t>Жидкая лампа</t>
  </si>
  <si>
    <t>LiquidLampRoutine(true);</t>
  </si>
  <si>
    <t>LIQUIDLAMP_AUTO</t>
  </si>
  <si>
    <t>Жидкая лампа авто</t>
  </si>
  <si>
    <t xml:space="preserve"> LOW_DELAY_TICK</t>
  </si>
  <si>
    <t>LiquidLampRoutine(false);</t>
  </si>
  <si>
    <t>SWIRL</t>
  </si>
  <si>
    <t>Завиток</t>
  </si>
  <si>
    <t>Swirl();</t>
  </si>
  <si>
    <t>ZEBRA</t>
  </si>
  <si>
    <t>Зебра</t>
  </si>
  <si>
    <t>zebraNoiseRoutine();</t>
  </si>
  <si>
    <t>SNAKES</t>
  </si>
  <si>
    <t>Змейки</t>
  </si>
  <si>
    <t>snakesRoutine();</t>
  </si>
  <si>
    <t>FOUNTAIN</t>
  </si>
  <si>
    <t>Источник</t>
  </si>
  <si>
    <t>starfield2Routine();</t>
  </si>
  <si>
    <t>DROPS</t>
  </si>
  <si>
    <t>Капли на стекле</t>
  </si>
  <si>
    <t>newMatrixRoutine();</t>
  </si>
  <si>
    <t>LLAND</t>
  </si>
  <si>
    <t>Кипение</t>
  </si>
  <si>
    <t>LLandRoutine();</t>
  </si>
  <si>
    <t>RINGS</t>
  </si>
  <si>
    <t>Кодовый замок</t>
  </si>
  <si>
    <t>ringsRoutine();</t>
  </si>
  <si>
    <t>COMET</t>
  </si>
  <si>
    <t>Комета</t>
  </si>
  <si>
    <t>RainbowCometRoutine();</t>
  </si>
  <si>
    <t>COMET_COLOR</t>
  </si>
  <si>
    <t>Комета одноцветная</t>
  </si>
  <si>
    <t>ColorCometRoutine();</t>
  </si>
  <si>
    <t>COMET_TWO</t>
  </si>
  <si>
    <t>Комета двойная</t>
  </si>
  <si>
    <t>MultipleStream();</t>
  </si>
  <si>
    <t>COMET_THREE</t>
  </si>
  <si>
    <t>Комета тройная</t>
  </si>
  <si>
    <t>MultipleStream2();</t>
  </si>
  <si>
    <t>CONTACTS</t>
  </si>
  <si>
    <t>Контакты</t>
  </si>
  <si>
    <t>Contacts();</t>
  </si>
  <si>
    <t>SPARKLES</t>
  </si>
  <si>
    <t>Конфетти</t>
  </si>
  <si>
    <t>sparklesRoutine();</t>
  </si>
  <si>
    <t>CUBE2D</t>
  </si>
  <si>
    <t>Кубик Рубика</t>
  </si>
  <si>
    <t>cube2dRoutine();</t>
  </si>
  <si>
    <t>LAVA</t>
  </si>
  <si>
    <t>Лава</t>
  </si>
  <si>
    <t>lavaNoiseRoutine();</t>
  </si>
  <si>
    <t>LAVALAMP</t>
  </si>
  <si>
    <t>Лавовая лампа</t>
  </si>
  <si>
    <t>LavaLampRoutine();</t>
  </si>
  <si>
    <t>BUTTERFLYS_LAMP</t>
  </si>
  <si>
    <t>Лампа с мотыльками</t>
  </si>
  <si>
    <t>butterflysRoutine(false);</t>
  </si>
  <si>
    <t>FOREST</t>
  </si>
  <si>
    <t>Лес</t>
  </si>
  <si>
    <t>forestNoiseRoutine();</t>
  </si>
  <si>
    <t>LUMENJER</t>
  </si>
  <si>
    <t>Люмeньep</t>
  </si>
  <si>
    <t>lumenjerRoutine();</t>
  </si>
  <si>
    <t>const String efList_2 = String("LIST2;") + // ======== ВТОРАЯ СТРОКА ========</t>
  </si>
  <si>
    <t>LIST2;</t>
  </si>
  <si>
    <t>MAGMA</t>
  </si>
  <si>
    <t>Магма</t>
  </si>
  <si>
    <t>magmaRoutine();</t>
  </si>
  <si>
    <t>PAINTS</t>
  </si>
  <si>
    <t>Масляные краски</t>
  </si>
  <si>
    <t>OilPaints();</t>
  </si>
  <si>
    <t>MATRIX</t>
  </si>
  <si>
    <t>Матрица</t>
  </si>
  <si>
    <t>matrixRoutine();</t>
  </si>
  <si>
    <t>TWINKLES</t>
  </si>
  <si>
    <t>Мерцание</t>
  </si>
  <si>
    <t>twinklesRoutine();</t>
  </si>
  <si>
    <t>METABALLS</t>
  </si>
  <si>
    <t>Метоболз</t>
  </si>
  <si>
    <t>MetaBallsRoutine();</t>
  </si>
  <si>
    <t>WEB_TOOLS</t>
  </si>
  <si>
    <t>Мечта дизайнера</t>
  </si>
  <si>
    <t>SOFT_DELAY_TICK</t>
  </si>
  <si>
    <t>WebTools();</t>
  </si>
  <si>
    <t>MOSAIC</t>
  </si>
  <si>
    <t>Мозайка</t>
  </si>
  <si>
    <t>squaresNdotsRoutine();</t>
  </si>
  <si>
    <t>BUTTERFLYS</t>
  </si>
  <si>
    <t>Moтыльки</t>
  </si>
  <si>
    <t>butterflysRoutine(true);</t>
  </si>
  <si>
    <t>BBALLS</t>
  </si>
  <si>
    <t>Мячики</t>
  </si>
  <si>
    <t>BBallsRoutine();</t>
  </si>
  <si>
    <t>BALLS_BOUNCE</t>
  </si>
  <si>
    <t>Мячики без границ</t>
  </si>
  <si>
    <t>bounceRoutine();</t>
  </si>
  <si>
    <t>CHRISTMAS_TREE</t>
  </si>
  <si>
    <t>Новогодняя Елка</t>
  </si>
  <si>
    <t>ChristmasTree();</t>
  </si>
  <si>
    <t>FIRE</t>
  </si>
  <si>
    <t>Огонь</t>
  </si>
  <si>
    <t>fireRoutine(true);</t>
  </si>
  <si>
    <t>FIRE_2012</t>
  </si>
  <si>
    <t>Огонь 2012</t>
  </si>
  <si>
    <t>fire2012again();</t>
  </si>
  <si>
    <t>FIRE_2018</t>
  </si>
  <si>
    <t>Огонь 2018</t>
  </si>
  <si>
    <t>Fire2018_2();</t>
  </si>
  <si>
    <t>FIRE_2020</t>
  </si>
  <si>
    <t>Огонь 2020</t>
  </si>
  <si>
    <t>fire2020Routine2();</t>
  </si>
  <si>
    <t>FIRE_2021</t>
  </si>
  <si>
    <t>Огонь 2021</t>
  </si>
  <si>
    <t>Fire2021Routine();</t>
  </si>
  <si>
    <t>FIREFLY_TOP</t>
  </si>
  <si>
    <t>Огoнь верховой</t>
  </si>
  <si>
    <t>MultipleStream5();</t>
  </si>
  <si>
    <t>FIREFLY</t>
  </si>
  <si>
    <t>Огoнь парящий</t>
  </si>
  <si>
    <t>MultipleStream3();</t>
  </si>
  <si>
    <t>FIRESPARKS</t>
  </si>
  <si>
    <t>Огонь с искрами</t>
  </si>
  <si>
    <t>FireSparks();</t>
  </si>
  <si>
    <t>COLOR_RAIN</t>
  </si>
  <si>
    <t>Осадки</t>
  </si>
  <si>
    <t>coloredRain();</t>
  </si>
  <si>
    <t>OSCILLATING</t>
  </si>
  <si>
    <t>Осциллятор</t>
  </si>
  <si>
    <t>oscillatingRoutine();</t>
  </si>
  <si>
    <t>CLOUDS</t>
  </si>
  <si>
    <t>Облака</t>
  </si>
  <si>
    <t>cloudsNoiseRoutine();</t>
  </si>
  <si>
    <t>OCEAN</t>
  </si>
  <si>
    <t>Океан</t>
  </si>
  <si>
    <t>oceanNoiseRoutine();</t>
  </si>
  <si>
    <t>RAINBOW_STRIPE</t>
  </si>
  <si>
    <t>Павлин</t>
  </si>
  <si>
    <t>rainbowStripeNoiseRoutine();</t>
  </si>
  <si>
    <t>HOURGLASS</t>
  </si>
  <si>
    <t>Песочные часы</t>
  </si>
  <si>
    <t>Hourglass();</t>
  </si>
  <si>
    <t>PAINTBALL</t>
  </si>
  <si>
    <t>Пейнтбол</t>
  </si>
  <si>
    <t>lightBallsRoutine();</t>
  </si>
  <si>
    <t>PICASSO</t>
  </si>
  <si>
    <t>Пикассо</t>
  </si>
  <si>
    <t>picassoSelector();</t>
  </si>
  <si>
    <t>PLASMA</t>
  </si>
  <si>
    <t>Плазма</t>
  </si>
  <si>
    <t>plasmaNoiseRoutine();</t>
  </si>
  <si>
    <t>SPIDER</t>
  </si>
  <si>
    <t>Плазменная лампа</t>
  </si>
  <si>
    <t>spiderRoutine();</t>
  </si>
  <si>
    <t>FLAME</t>
  </si>
  <si>
    <t>Пламя</t>
  </si>
  <si>
    <t>execStringsFlame();</t>
  </si>
  <si>
    <t>BY_EFFECT</t>
  </si>
  <si>
    <t>Побочный эффект</t>
  </si>
  <si>
    <t>ByEffect();</t>
  </si>
  <si>
    <t>POPCORN</t>
  </si>
  <si>
    <t>Попкорн</t>
  </si>
  <si>
    <t xml:space="preserve">popcornRoutine(); </t>
  </si>
  <si>
    <t>PRISMATA</t>
  </si>
  <si>
    <t>Призмата</t>
  </si>
  <si>
    <t>PrismataRoutine();</t>
  </si>
  <si>
    <t>ATTRACT</t>
  </si>
  <si>
    <t>Притяжение</t>
  </si>
  <si>
    <t>attractRoutine();</t>
  </si>
  <si>
    <t>LEAPERS</t>
  </si>
  <si>
    <t>Пpыгyны</t>
  </si>
  <si>
    <t>LeapersRoutine();</t>
  </si>
  <si>
    <t>PULSE</t>
  </si>
  <si>
    <t>Пульс</t>
  </si>
  <si>
    <t>pulseRoutine(2U);</t>
  </si>
  <si>
    <t>const String efList_3 = String("LIST3;") + // ======== ТРЕТЬЯ СТРОКА ========</t>
  </si>
  <si>
    <t>LIST3;</t>
  </si>
  <si>
    <t>PULSE_WHITE</t>
  </si>
  <si>
    <t>Пульс белый</t>
  </si>
  <si>
    <t xml:space="preserve">LOW_DELAY_TICK    </t>
  </si>
  <si>
    <t>pulseRoutine(8U);</t>
  </si>
  <si>
    <t>PULSE_RAINBOW</t>
  </si>
  <si>
    <t>Пульс радужный</t>
  </si>
  <si>
    <t>pulseRoutine(4U);</t>
  </si>
  <si>
    <t>RADIAL_WAWE</t>
  </si>
  <si>
    <t>Радиальная волна</t>
  </si>
  <si>
    <t>RadialWave();</t>
  </si>
  <si>
    <t>RAINBOW_VER</t>
  </si>
  <si>
    <t>Радуга</t>
  </si>
  <si>
    <t>rainbowRoutine();</t>
  </si>
  <si>
    <t>RAINBOW</t>
  </si>
  <si>
    <t>Радуга 3D</t>
  </si>
  <si>
    <t>rainbowNoiseRoutine();</t>
  </si>
  <si>
    <t>SNAKE</t>
  </si>
  <si>
    <t>Радужный змей</t>
  </si>
  <si>
    <t>MultipleStream8();</t>
  </si>
  <si>
    <t>RAIN</t>
  </si>
  <si>
    <t>Разноцветный дождь</t>
  </si>
  <si>
    <t>RainRoutine();</t>
  </si>
  <si>
    <t>RIVERS</t>
  </si>
  <si>
    <t>Реки Ботсваны</t>
  </si>
  <si>
    <t>BotswanaRivers();</t>
  </si>
  <si>
    <t>LIGHTERS</t>
  </si>
  <si>
    <t>Светлячки</t>
  </si>
  <si>
    <t>lightersRoutine();</t>
  </si>
  <si>
    <t>LIGHTER_TRACES</t>
  </si>
  <si>
    <t>Светлячки со шлейфом</t>
  </si>
  <si>
    <t>ballsRoutine();</t>
  </si>
  <si>
    <t>FEATHER_CANDLE</t>
  </si>
  <si>
    <t>Свеча</t>
  </si>
  <si>
    <t>FeatherCandleRoutine();</t>
  </si>
  <si>
    <t>AURORA</t>
  </si>
  <si>
    <t>Северное сияние</t>
  </si>
  <si>
    <t>polarRoutine();</t>
  </si>
  <si>
    <t>SINUSOID3</t>
  </si>
  <si>
    <t>Синусоид</t>
  </si>
  <si>
    <t>Sinusoid3Routine();</t>
  </si>
  <si>
    <t>COLORS</t>
  </si>
  <si>
    <t>Смена цвета</t>
  </si>
  <si>
    <t>colorsRoutine2();</t>
  </si>
  <si>
    <t>SNOW</t>
  </si>
  <si>
    <t>Снегопад</t>
  </si>
  <si>
    <t>SPECTRUM</t>
  </si>
  <si>
    <t>Спектрум</t>
  </si>
  <si>
    <t>Spectrum();</t>
  </si>
  <si>
    <t>SPIRO</t>
  </si>
  <si>
    <t>Спирали</t>
  </si>
  <si>
    <t>spiroRoutine();</t>
  </si>
  <si>
    <t>FLOCK</t>
  </si>
  <si>
    <t>Стая</t>
  </si>
  <si>
    <t>flockRoutine(false);</t>
  </si>
  <si>
    <t>FLOCK_N_PR</t>
  </si>
  <si>
    <t>Стая и хищник</t>
  </si>
  <si>
    <t>flockRoutine(true);</t>
  </si>
  <si>
    <t>ARROWS</t>
  </si>
  <si>
    <t>Стрелки</t>
  </si>
  <si>
    <t>arrowsRoutine();</t>
  </si>
  <si>
    <t>STROBE</t>
  </si>
  <si>
    <t>Строб.Хаос.Дифузия</t>
  </si>
  <si>
    <t>StrobeAndDiffusion();</t>
  </si>
  <si>
    <t>SHADOWS</t>
  </si>
  <si>
    <t>Тени</t>
  </si>
  <si>
    <t>shadowsRoutine();</t>
  </si>
  <si>
    <t>PACIFIC</t>
  </si>
  <si>
    <t>Тихий океан</t>
  </si>
  <si>
    <t>pacificRoutine();</t>
  </si>
  <si>
    <t>SIMPLE_RAIN</t>
  </si>
  <si>
    <t>Tyчкa в банке</t>
  </si>
  <si>
    <t>simpleRain();</t>
  </si>
  <si>
    <t>FIREWORK</t>
  </si>
  <si>
    <t>Фейерверк</t>
  </si>
  <si>
    <t>Firework();</t>
  </si>
  <si>
    <t>FIREWORK_2</t>
  </si>
  <si>
    <t>Фейерверк 2</t>
  </si>
  <si>
    <t>fireworksRoutine();</t>
  </si>
  <si>
    <t>FAIRY</t>
  </si>
  <si>
    <t>Фея</t>
  </si>
  <si>
    <t>fairyRoutine();</t>
  </si>
  <si>
    <t>COLOR</t>
  </si>
  <si>
    <t>Цвет</t>
  </si>
  <si>
    <t>colorRoutine();</t>
  </si>
  <si>
    <t>EFF_SAND</t>
  </si>
  <si>
    <t>Цветные драже</t>
  </si>
  <si>
    <t>sandRoutine();</t>
  </si>
  <si>
    <t>COLOR_FRIZZLES</t>
  </si>
  <si>
    <t>Цветные кудри</t>
  </si>
  <si>
    <t>ColorFrizzles();</t>
  </si>
  <si>
    <t>EFF_LOTUS</t>
  </si>
  <si>
    <t>Цветок лотоса</t>
  </si>
  <si>
    <t>LotusFlower();</t>
  </si>
  <si>
    <t>SPHERES</t>
  </si>
  <si>
    <t>Шapы</t>
  </si>
  <si>
    <t>spheresRoutine();</t>
  </si>
  <si>
    <t>NEXUS</t>
  </si>
  <si>
    <t>Nexus</t>
  </si>
  <si>
    <t>nexusRoutine();</t>
  </si>
  <si>
    <t>CLOCK</t>
  </si>
  <si>
    <t>Часы</t>
  </si>
  <si>
    <t>clockRoutine();</t>
  </si>
  <si>
    <t>Имя эффекта</t>
  </si>
  <si>
    <t>PLANETEARTH</t>
  </si>
  <si>
    <t>Планета Земля</t>
  </si>
  <si>
    <t xml:space="preserve">PlanetEarth(); </t>
  </si>
  <si>
    <t>STARS</t>
  </si>
  <si>
    <t>Звезды</t>
  </si>
  <si>
    <t>Осьминог</t>
  </si>
  <si>
    <t>EffectStars();</t>
  </si>
  <si>
    <t>TORNADO</t>
  </si>
  <si>
    <t>Торнадо</t>
  </si>
  <si>
    <t>Цветной Питон</t>
  </si>
  <si>
    <t>PLASMA_WAVES</t>
  </si>
  <si>
    <t>Плазменные волны</t>
  </si>
  <si>
    <t>количество режимов</t>
  </si>
  <si>
    <t xml:space="preserve">LOW_DELAY_TICK </t>
  </si>
  <si>
    <t>Tornado();</t>
  </si>
  <si>
    <t>Octopus();</t>
  </si>
  <si>
    <t>Plasma_Waves();</t>
  </si>
  <si>
    <t xml:space="preserve">EFF_COLORED_PYTHON </t>
  </si>
  <si>
    <t>Colored_Python();</t>
  </si>
  <si>
    <t xml:space="preserve">MODE_AMOUNT </t>
  </si>
  <si>
    <t>Snowfall();</t>
  </si>
  <si>
    <t>DROP_IN_WATER</t>
  </si>
  <si>
    <t>Капли на воде</t>
  </si>
  <si>
    <t>DropInWater();</t>
  </si>
  <si>
    <t>OCTOPUS</t>
  </si>
  <si>
    <t xml:space="preserve">BAMBOO </t>
  </si>
  <si>
    <t>Бамбук</t>
  </si>
  <si>
    <t>Bamboo();</t>
  </si>
  <si>
    <t>Аленький цветочек</t>
  </si>
  <si>
    <t>FLOWERRUTA</t>
  </si>
  <si>
    <t>FlowerRuta();</t>
  </si>
  <si>
    <t>BALLROUTINE</t>
  </si>
  <si>
    <t>Блуждающий кубик</t>
  </si>
  <si>
    <t>TIXYLAND</t>
  </si>
  <si>
    <t>Земля Тикси</t>
  </si>
  <si>
    <t>TixyLand();</t>
  </si>
  <si>
    <t>ballRoutine();</t>
  </si>
  <si>
    <t>TURBULENCE</t>
  </si>
  <si>
    <t>Цифровая турбулентность</t>
  </si>
  <si>
    <t>Turbulence();</t>
  </si>
  <si>
    <t>SERPENTINE</t>
  </si>
  <si>
    <t>Серпантин</t>
  </si>
  <si>
    <r>
      <t>Serpentine</t>
    </r>
    <r>
      <rPr>
        <sz val="9"/>
        <color rgb="FF1F2328"/>
        <rFont val="Consolas"/>
        <family val="3"/>
        <charset val="204"/>
      </rPr>
      <t>()</t>
    </r>
    <r>
      <rPr>
        <sz val="9"/>
        <color theme="1"/>
        <rFont val="Consolas"/>
        <family val="3"/>
        <charset val="204"/>
      </rPr>
      <t>;</t>
    </r>
  </si>
  <si>
    <t>Сканер</t>
  </si>
  <si>
    <t>SCANNER</t>
  </si>
  <si>
    <r>
      <t>Scanner</t>
    </r>
    <r>
      <rPr>
        <sz val="9"/>
        <color rgb="FF1F2328"/>
        <rFont val="Consolas"/>
        <family val="3"/>
        <charset val="204"/>
      </rPr>
      <t>()</t>
    </r>
    <r>
      <rPr>
        <sz val="9"/>
        <color theme="1"/>
        <rFont val="Consolas"/>
        <family val="3"/>
        <charset val="204"/>
      </rPr>
      <t>;</t>
    </r>
  </si>
  <si>
    <t>NIGHTCITY</t>
  </si>
  <si>
    <t>NightCity();</t>
  </si>
  <si>
    <t>Ночной Город</t>
  </si>
  <si>
    <t>Аврора</t>
  </si>
  <si>
    <t>AVRORA</t>
  </si>
  <si>
    <t>Avrora();</t>
  </si>
  <si>
    <t>Радужное Пятно</t>
  </si>
  <si>
    <t>Фонтан</t>
  </si>
  <si>
    <t>RAINBOW_SPOT</t>
  </si>
  <si>
    <t>RainbowSpot();</t>
  </si>
  <si>
    <t>Fountain();</t>
  </si>
  <si>
    <t>FONTAN</t>
  </si>
  <si>
    <t>Радужные кольца</t>
  </si>
  <si>
    <t>RainbowRings();</t>
  </si>
  <si>
    <t>RAINBOW_RINGS</t>
  </si>
  <si>
    <t>DANDELIONS</t>
  </si>
  <si>
    <t>Разноцветные одуванчики</t>
  </si>
  <si>
    <t xml:space="preserve">SOFT_DELAY_TICK </t>
  </si>
  <si>
    <t xml:space="preserve">Dandelions(); </t>
  </si>
  <si>
    <t>config_sound.json</t>
  </si>
  <si>
    <t>config_cycle.json</t>
  </si>
  <si>
    <t>background: #1c1c1c;border-color: #ffffff3d;border-style:solidborder-style: none;background: rgba(0, 0, 0, 0);color:#16d3f2;text-shadow: #16d3f2 1px 0 10px;height: 30px;width:15%;border-radius:8px;text-align:center</t>
  </si>
  <si>
    <t>style</t>
  </si>
  <si>
    <t>Бабочка</t>
  </si>
  <si>
    <t>Звезды Новые</t>
  </si>
  <si>
    <t>Флаг (Триколор)</t>
  </si>
  <si>
    <t>Цвет с затуханием</t>
  </si>
  <si>
    <t>BUTTERFLY</t>
  </si>
  <si>
    <t>NEW_STARS</t>
  </si>
  <si>
    <t>TRICOLOR</t>
  </si>
  <si>
    <t>EFF_COLOR_FADED</t>
  </si>
  <si>
    <t>colorFaded();</t>
  </si>
  <si>
    <t>FlagRoutine();</t>
  </si>
  <si>
    <t>StarsEffect();</t>
  </si>
  <si>
    <t>butterflyRoutine();</t>
  </si>
  <si>
    <t>Змейка</t>
  </si>
  <si>
    <t>snakeGameRoutine();</t>
  </si>
  <si>
    <t>Марио</t>
  </si>
  <si>
    <t>marioRoutine();</t>
  </si>
  <si>
    <t>MARIO</t>
  </si>
  <si>
    <t>SNAKE_CK</t>
  </si>
  <si>
    <t>effect.ini</t>
  </si>
  <si>
    <t># Формат: номер;яркость;скорость;масштаб/цвет;название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</si>
</sst>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mo"/>
    </font>
    <font>
      <b/>
      <sz val="10"/>
      <color rgb="FFFF0000"/>
      <name val="Arimo"/>
    </font>
    <font>
      <b/>
      <sz val="10"/>
      <color theme="1"/>
      <name val="Arimo"/>
    </font>
    <font>
      <b/>
      <sz val="10"/>
      <color rgb="FFFFFF00"/>
      <name val="Arimo"/>
    </font>
    <font>
      <b/>
      <u/>
      <sz val="10"/>
      <color theme="1"/>
      <name val="Arimo"/>
    </font>
    <font>
      <sz val="11"/>
      <color theme="1"/>
      <name val="Arimo"/>
    </font>
    <font>
      <sz val="11"/>
      <color rgb="FF7E3794"/>
      <name val="Arimo"/>
    </font>
    <font>
      <sz val="11"/>
      <color theme="1"/>
      <name val="Calibri"/>
      <scheme val="minor"/>
    </font>
    <font>
      <sz val="11"/>
      <color rgb="FF11A9CC"/>
      <name val="Calibri"/>
      <scheme val="minor"/>
    </font>
    <font>
      <sz val="11"/>
      <color rgb="FFA61D4C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mo"/>
      <charset val="204"/>
    </font>
    <font>
      <sz val="10"/>
      <color rgb="FF7E3794"/>
      <name val="Arimo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202124"/>
      <name val="Calibri"/>
      <family val="2"/>
      <charset val="204"/>
      <scheme val="minor"/>
    </font>
    <font>
      <sz val="11"/>
      <name val="Calibri"/>
      <family val="2"/>
      <charset val="204"/>
    </font>
    <font>
      <sz val="9"/>
      <color theme="1"/>
      <name val="Consolas"/>
      <family val="3"/>
      <charset val="204"/>
    </font>
    <font>
      <sz val="9"/>
      <color rgb="FF1F2328"/>
      <name val="Consolas"/>
      <family val="3"/>
      <charset val="204"/>
    </font>
    <font>
      <sz val="11"/>
      <color rgb="FF24292E"/>
      <name val="Calibri"/>
      <family val="2"/>
      <charset val="204"/>
    </font>
    <font>
      <sz val="11"/>
      <color rgb="FF24292E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0000FF"/>
        <bgColor rgb="FF0000FF"/>
      </patternFill>
    </fill>
    <fill>
      <patternFill patternType="solid">
        <fgColor rgb="FF92D050"/>
        <bgColor rgb="FFFCE5CD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/>
    <xf numFmtId="0" fontId="13" fillId="0" borderId="0" xfId="0" applyFont="1"/>
    <xf numFmtId="0" fontId="14" fillId="0" borderId="0" xfId="0" applyFont="1"/>
    <xf numFmtId="0" fontId="14" fillId="3" borderId="0" xfId="0" applyFont="1" applyFill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/>
    <xf numFmtId="0" fontId="1" fillId="9" borderId="0" xfId="0" applyFont="1" applyFill="1"/>
    <xf numFmtId="0" fontId="1" fillId="2" borderId="0" xfId="0" applyFont="1" applyFill="1"/>
    <xf numFmtId="0" fontId="1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horizontal="left"/>
    </xf>
    <xf numFmtId="0" fontId="16" fillId="9" borderId="0" xfId="0" applyFont="1" applyFill="1"/>
    <xf numFmtId="0" fontId="16" fillId="0" borderId="0" xfId="0" applyFont="1" applyAlignment="1">
      <alignment horizontal="right"/>
    </xf>
    <xf numFmtId="0" fontId="16" fillId="3" borderId="0" xfId="0" applyFont="1" applyFill="1"/>
    <xf numFmtId="16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0" fontId="17" fillId="8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7" borderId="0" xfId="0" applyFont="1" applyFill="1" applyAlignment="1">
      <alignment horizontal="left"/>
    </xf>
    <xf numFmtId="164" fontId="16" fillId="9" borderId="0" xfId="0" applyNumberFormat="1" applyFont="1" applyFill="1" applyAlignment="1">
      <alignment horizontal="right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/>
    <xf numFmtId="0" fontId="19" fillId="3" borderId="0" xfId="0" applyFont="1" applyFill="1"/>
    <xf numFmtId="0" fontId="22" fillId="0" borderId="0" xfId="0" applyFont="1"/>
    <xf numFmtId="0" fontId="16" fillId="0" borderId="0" xfId="0" applyFont="1" applyFill="1"/>
    <xf numFmtId="0" fontId="2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53"/>
  <sheetViews>
    <sheetView tabSelected="1" zoomScaleNormal="100" workbookViewId="0">
      <pane ySplit="3" topLeftCell="A28" activePane="bottomLeft" state="frozen"/>
      <selection pane="bottomLeft" activeCell="N50" sqref="N50"/>
    </sheetView>
  </sheetViews>
  <sheetFormatPr defaultRowHeight="15"/>
  <cols>
    <col min="1" max="1" width="9.140625" style="33"/>
    <col min="2" max="2" width="22" style="38" customWidth="1"/>
    <col min="3" max="3" width="25.42578125" style="38" customWidth="1"/>
    <col min="4" max="4" width="0.28515625" style="42" customWidth="1"/>
    <col min="5" max="5" width="9.140625" style="42" hidden="1" customWidth="1"/>
    <col min="6" max="6" width="0.140625" style="42" hidden="1" customWidth="1"/>
    <col min="7" max="7" width="0.5703125" style="42" customWidth="1"/>
    <col min="8" max="8" width="5.42578125" style="38" customWidth="1"/>
    <col min="9" max="9" width="6.140625" style="38" customWidth="1"/>
    <col min="10" max="10" width="7" style="38" customWidth="1"/>
    <col min="11" max="11" width="0.85546875" style="42" customWidth="1"/>
    <col min="12" max="12" width="6.42578125" style="38" customWidth="1"/>
    <col min="13" max="14" width="7.28515625" style="38" customWidth="1"/>
    <col min="15" max="15" width="7.42578125" style="38" customWidth="1"/>
    <col min="16" max="16" width="6.42578125" style="38" customWidth="1"/>
    <col min="17" max="17" width="38.28515625" style="38" customWidth="1"/>
    <col min="18" max="18" width="26.85546875" style="38" customWidth="1"/>
    <col min="19" max="19" width="20.140625" style="38" customWidth="1"/>
    <col min="20" max="20" width="25.42578125" style="38" customWidth="1"/>
    <col min="21" max="21" width="1" style="1" customWidth="1"/>
    <col min="22" max="22" width="62.28515625" customWidth="1"/>
    <col min="23" max="24" width="9.140625" hidden="1" customWidth="1"/>
    <col min="25" max="25" width="0.140625" customWidth="1"/>
    <col min="26" max="26" width="39.5703125" customWidth="1"/>
    <col min="27" max="27" width="140.28515625" customWidth="1"/>
    <col min="28" max="28" width="9.140625" hidden="1" customWidth="1"/>
    <col min="29" max="29" width="17" customWidth="1"/>
    <col min="30" max="30" width="19.140625" customWidth="1"/>
    <col min="31" max="31" width="17.85546875" customWidth="1"/>
    <col min="32" max="32" width="130" customWidth="1"/>
    <col min="33" max="33" width="255.5703125" customWidth="1"/>
    <col min="34" max="34" width="34.7109375" customWidth="1"/>
    <col min="35" max="35" width="0.140625" customWidth="1"/>
    <col min="36" max="36" width="40.28515625" customWidth="1"/>
    <col min="37" max="37" width="29" customWidth="1"/>
    <col min="38" max="38" width="177.7109375" customWidth="1"/>
  </cols>
  <sheetData>
    <row r="1" spans="1:56" ht="14.25" customHeight="1">
      <c r="A1" s="35"/>
      <c r="H1" s="38" t="s">
        <v>0</v>
      </c>
      <c r="L1" s="38" t="s">
        <v>1</v>
      </c>
      <c r="S1" s="43"/>
      <c r="U1" s="15"/>
      <c r="V1" s="3" t="s">
        <v>2</v>
      </c>
      <c r="AC1" s="4"/>
      <c r="AD1" s="4"/>
      <c r="AE1" s="4"/>
      <c r="AI1" s="4"/>
      <c r="AJ1" s="4"/>
      <c r="AL1" s="4"/>
      <c r="AM1" s="4"/>
      <c r="AN1" s="4"/>
      <c r="AO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 ht="14.25" customHeight="1">
      <c r="C2" s="44"/>
      <c r="U2" s="27"/>
      <c r="V2" s="5" t="s">
        <v>3</v>
      </c>
      <c r="W2" s="6" t="s">
        <v>4</v>
      </c>
      <c r="X2" s="7" t="s">
        <v>5</v>
      </c>
      <c r="Y2" s="8" t="s">
        <v>6</v>
      </c>
      <c r="Z2" s="9" t="s">
        <v>454</v>
      </c>
      <c r="AA2" s="5" t="s">
        <v>7</v>
      </c>
      <c r="AB2" s="10" t="s">
        <v>8</v>
      </c>
      <c r="AC2" s="11" t="s">
        <v>433</v>
      </c>
      <c r="AD2" s="5" t="s">
        <v>9</v>
      </c>
      <c r="AE2" s="12" t="s">
        <v>432</v>
      </c>
      <c r="AF2" s="13" t="s">
        <v>10</v>
      </c>
      <c r="AG2" s="13" t="s">
        <v>11</v>
      </c>
      <c r="AH2" s="13" t="s">
        <v>12</v>
      </c>
      <c r="AI2" s="13"/>
      <c r="AJ2" s="14" t="s">
        <v>13</v>
      </c>
      <c r="AK2" s="5"/>
      <c r="AL2" s="5" t="s">
        <v>435</v>
      </c>
      <c r="AM2" s="5"/>
      <c r="AN2" s="5"/>
      <c r="AO2" s="24"/>
      <c r="AP2" s="5"/>
      <c r="AQ2" s="5"/>
      <c r="AR2" s="5"/>
      <c r="AS2" s="5"/>
      <c r="AT2" s="24"/>
      <c r="AU2" s="5"/>
      <c r="AV2" s="5"/>
      <c r="AW2" s="5"/>
      <c r="AX2" s="25"/>
      <c r="AY2" s="26"/>
      <c r="AZ2" s="5"/>
      <c r="BA2" s="5"/>
      <c r="BB2" s="5"/>
      <c r="BC2" s="5"/>
      <c r="BD2" s="24"/>
    </row>
    <row r="3" spans="1:56" ht="14.25" customHeight="1">
      <c r="A3" s="36" t="s">
        <v>14</v>
      </c>
      <c r="B3" s="44" t="s">
        <v>15</v>
      </c>
      <c r="C3" s="45" t="s">
        <v>366</v>
      </c>
      <c r="D3" s="46"/>
      <c r="E3" s="46"/>
      <c r="F3" s="46"/>
      <c r="G3" s="46"/>
      <c r="H3" s="39" t="s">
        <v>16</v>
      </c>
      <c r="I3" s="39" t="s">
        <v>17</v>
      </c>
      <c r="J3" s="39" t="s">
        <v>18</v>
      </c>
      <c r="K3" s="47"/>
      <c r="L3" s="39" t="s">
        <v>19</v>
      </c>
      <c r="M3" s="39" t="s">
        <v>20</v>
      </c>
      <c r="N3" s="39" t="s">
        <v>21</v>
      </c>
      <c r="O3" s="39" t="s">
        <v>22</v>
      </c>
      <c r="P3" s="39" t="s">
        <v>23</v>
      </c>
      <c r="Q3" s="39" t="s">
        <v>24</v>
      </c>
      <c r="R3" s="39" t="s">
        <v>25</v>
      </c>
      <c r="S3" s="48" t="s">
        <v>26</v>
      </c>
      <c r="T3" s="49" t="s">
        <v>27</v>
      </c>
      <c r="U3" s="15"/>
      <c r="W3" s="2" t="s">
        <v>28</v>
      </c>
      <c r="X3" s="2" t="s">
        <v>28</v>
      </c>
      <c r="Z3" s="2" t="s">
        <v>455</v>
      </c>
      <c r="AB3" s="2" t="s">
        <v>29</v>
      </c>
      <c r="AC3" s="4" t="s">
        <v>30</v>
      </c>
      <c r="AD3" s="4" t="s">
        <v>31</v>
      </c>
      <c r="AE3" s="4" t="s">
        <v>30</v>
      </c>
      <c r="AH3" s="4" t="s">
        <v>30</v>
      </c>
      <c r="AI3" s="4"/>
      <c r="AJ3" s="5" t="s">
        <v>32</v>
      </c>
      <c r="AL3" s="4"/>
      <c r="AM3" s="4"/>
      <c r="AN3" s="4"/>
      <c r="AO3" s="5"/>
      <c r="AQ3" s="4"/>
      <c r="AR3" s="4"/>
      <c r="AS3" s="4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56" ht="14.25" customHeight="1">
      <c r="A4" s="33">
        <v>0</v>
      </c>
      <c r="B4" s="38" t="s">
        <v>33</v>
      </c>
      <c r="C4" s="38" t="s">
        <v>34</v>
      </c>
      <c r="H4" s="38">
        <v>5</v>
      </c>
      <c r="I4" s="38">
        <v>1</v>
      </c>
      <c r="J4" s="38">
        <v>50</v>
      </c>
      <c r="L4" s="38">
        <v>1</v>
      </c>
      <c r="M4" s="38">
        <v>255</v>
      </c>
      <c r="N4" s="38">
        <v>1</v>
      </c>
      <c r="O4" s="38">
        <v>100</v>
      </c>
      <c r="P4" s="38">
        <v>0</v>
      </c>
      <c r="Q4" s="38" t="s">
        <v>35</v>
      </c>
      <c r="R4" s="38" t="s">
        <v>36</v>
      </c>
      <c r="S4" s="38">
        <v>0</v>
      </c>
      <c r="T4" s="38">
        <v>0</v>
      </c>
      <c r="U4" s="15"/>
      <c r="V4" s="2" t="str">
        <f>CONCATENATE("#define EFF_",B4,REPT(" ",20-LEN(B4)),"(",REPT(" ",3-LEN(T4)),T4,"U)    // ",C4)</f>
        <v>#define EFF_WHITE_COLOR         (  0U)    // Бeлый cвeт</v>
      </c>
      <c r="W4" s="2" t="str">
        <f t="shared" ref="W4" si="0">CONCATENATE("String(""",A4,". ",C4,",",L4,",",M4,",",N4,",",O4,",",P4,";"") +")</f>
        <v>String("0. Бeлый cвeт,1,255,1,100,0;") +</v>
      </c>
      <c r="X4" s="2" t="str">
        <f t="shared" ref="X4" si="1">CONCATENATE("String(""",A4,". ",D4,",",L4,",",M4,",",N4,",",O4,",",P4,";"") +")</f>
        <v>String("0. ,1,255,1,100,0;") +</v>
      </c>
      <c r="Y4" s="2" t="str">
        <f t="shared" ref="Y4" si="2">CONCATENATE("String(""",A4,". ",E4,",",L4,",",M4,",",N4,",",O4,",",P4,";"") +")</f>
        <v>String("0. ,1,255,1,100,0;") +</v>
      </c>
      <c r="Z4" s="2" t="str">
        <f>CONCATENATE(A4,";",H4,";",I4,";",J4,";",C4)</f>
        <v>0;5;1;50;Бeлый cвeт</v>
      </c>
      <c r="AA4" s="2" t="str">
        <f t="shared" ref="AA4:AA5" si="3">CONCATENATE("        case EFF_",B4,":",REPT(" ",20-LEN(B4)),Q4," { effTimer = millis(); ",R4,REPT(" ",30-LEN(R4)),"Eff_Tick (); }","  break;  // (",REPT(" ",3-LEN(T4)),T4,"U) ",C4)</f>
        <v xml:space="preserve">        case EFF_WHITE_COLOR:         HIGH_DELAY_TICK { effTimer = millis(); whiteColorStripeRoutine();    Eff_Tick (); }  break;  // (  0U) Бeлый cвeт</v>
      </c>
      <c r="AB4" s="2" t="str">
        <f>CONCATENATE("{""name"":""",A4,". ",C4,""",""spmin"":",L4,",""spmax"":",M4,",""scmin"":",N4,",""scmax"":",O4,",""type"":",P4,"},")</f>
        <v>{"name":"0. Бeлый cвeт","spmin":1,"spmax":255,"scmin":1,"scmax":100,"type":0},</v>
      </c>
      <c r="AC4" s="4" t="str">
        <f t="shared" ref="AC4:AC5" si="4">CONCATENATE("""","e",T4,"""",":0,")</f>
        <v>"e0":0,</v>
      </c>
      <c r="AD4" s="4" t="str">
        <f t="shared" ref="AD4:AD5" si="5">CONCATENATE("e",T4,"=[[e",T4,"]]&amp;")</f>
        <v>e0=[[e0]]&amp;</v>
      </c>
      <c r="AE4" s="4" t="str">
        <f t="shared" ref="AE4:AE5" si="6">CONCATENATE("""","e",T4,"""",":",S4,",")</f>
        <v>"e0":0,</v>
      </c>
      <c r="AF4" s="2" t="str">
        <f>CONCATENATE("{""type"":""checkbox"",""class"":""checkbox-big"",""name"":""e",T4,""",""title"":""",A4,". ",C4,""",""style"":""font-size:16px;display:block"",""state"":""{{e",T4,"}}""},")</f>
        <v>{"type":"checkbox","class":"checkbox-big","name":"e0","title":"0. Бeлый cвeт","style":"font-size:16px;display:block","state":"{{e0}}"},</v>
      </c>
      <c r="AG4" s="2" t="str">
        <f>CONCATENATE("{""type"":""h4"",""title"":""",A4,". ",C4,""",""style"":""font-size:14px;width:85%;float:left""},{""type"":""input"",""title"":""папка"",""name"":""e",T4,""",""state"":""{{e",T4,"}}"",""pattern"":""[0-9]{1,2}"",""style"":""",AL4,"""},{""type"":""hr""},")</f>
        <v>{"type":"h4","title":"0. Бeлый cвeт","style":"font-size:14px;width:85%;float:left"},{"type":"input","title":"папка","name":"e0","state":"{{e0}}","pattern":"[0-9]{1,2}","style":"background: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" s="2" t="str">
        <f>CONCATENATE("""",A4,"""",": """,A4,".",C4,""",")</f>
        <v>"0": "0.Бeлый cвeт",</v>
      </c>
      <c r="AI4" s="16"/>
      <c r="AJ4" s="2" t="str">
        <f t="shared" ref="AJ4:AJ5" si="7">CONCATENATE(A4,". ",C4,",",L4,",",M4,",",N4,",",O4,",",P4,";")</f>
        <v>0. Бeлый cвeт,1,255,1,100,0;</v>
      </c>
      <c r="AK4" s="2" t="str">
        <f>CONCATENATE(A4,".",C4)</f>
        <v>0.Бeлый cвeт</v>
      </c>
      <c r="AL4" s="29" t="s">
        <v>434</v>
      </c>
      <c r="AM4" s="2"/>
      <c r="AN4" s="17"/>
      <c r="AO4" s="2"/>
      <c r="AP4" s="2"/>
      <c r="AQ4" s="2"/>
      <c r="AR4" s="2"/>
      <c r="AS4" s="16"/>
      <c r="AT4" s="2"/>
      <c r="AU4" s="2"/>
      <c r="AV4" s="18"/>
      <c r="AW4" s="18"/>
      <c r="AX4" s="18"/>
      <c r="AY4" s="18"/>
      <c r="AZ4" s="18"/>
      <c r="BA4" s="18"/>
      <c r="BB4" s="18"/>
      <c r="BC4" s="18"/>
      <c r="BD4" s="18"/>
    </row>
    <row r="5" spans="1:56">
      <c r="A5" s="33">
        <f t="shared" ref="A5:A8" ca="1" si="8">MAX(OFFSET(A5,-4,0,4,1))+1</f>
        <v>1</v>
      </c>
      <c r="B5" s="38" t="s">
        <v>417</v>
      </c>
      <c r="C5" s="38" t="s">
        <v>416</v>
      </c>
      <c r="H5" s="38">
        <v>15</v>
      </c>
      <c r="I5" s="38">
        <v>90</v>
      </c>
      <c r="J5" s="38">
        <v>50</v>
      </c>
      <c r="L5" s="38">
        <v>1</v>
      </c>
      <c r="M5" s="38">
        <v>255</v>
      </c>
      <c r="N5" s="38">
        <v>50</v>
      </c>
      <c r="O5" s="38">
        <v>50</v>
      </c>
      <c r="P5" s="38">
        <v>0</v>
      </c>
      <c r="Q5" s="38" t="s">
        <v>35</v>
      </c>
      <c r="R5" s="38" t="s">
        <v>418</v>
      </c>
      <c r="S5" s="38">
        <v>2</v>
      </c>
      <c r="T5" s="38">
        <f t="shared" ref="T5:T8" ca="1" si="9">MAX(OFFSET(T5,-4,0,4,1))+1</f>
        <v>1</v>
      </c>
      <c r="V5" s="2" t="str">
        <f ca="1">CONCATENATE("#define EFF_",B5,REPT(" ",20-LEN(B5)),"(",REPT(" ",3-LEN(T5)),T5,"U)    // ",C5)</f>
        <v>#define EFF_AVRORA              (  1U)    // Аврора</v>
      </c>
      <c r="Z5" s="2" t="str">
        <f ca="1">CONCATENATE(A5,";",H5,";",I5,";",J5,";",C5)</f>
        <v>1;15;90;50;Аврора</v>
      </c>
      <c r="AA5" s="2" t="str">
        <f t="shared" ca="1" si="3"/>
        <v xml:space="preserve">        case EFF_AVRORA:              HIGH_DELAY_TICK { effTimer = millis(); Avrora();                     Eff_Tick (); }  break;  // (  1U) Аврора</v>
      </c>
      <c r="AC5" s="4" t="str">
        <f t="shared" ca="1" si="4"/>
        <v>"e1":0,</v>
      </c>
      <c r="AD5" s="4" t="str">
        <f t="shared" ca="1" si="5"/>
        <v>e1=[[e1]]&amp;</v>
      </c>
      <c r="AE5" s="4" t="str">
        <f t="shared" ca="1" si="6"/>
        <v>"e1":2,</v>
      </c>
      <c r="AF5" s="2" t="str">
        <f ca="1">CONCATENATE("{""type"":""checkbox"",""class"":""checkbox-big"",""name"":""e",T5,""",""title"":""",A5,". ",C5,""",""style"":""font-size:16px;display:block"",""state"":""{{e",T5,"}}""},")</f>
        <v>{"type":"checkbox","class":"checkbox-big","name":"e1","title":"1. Аврора","style":"font-size:16px;display:block","state":"{{e1}}"},</v>
      </c>
      <c r="AG5" s="2" t="str">
        <f ca="1">CONCATENATE("{""type"":""h4"",""title"":""",A5,". ",C5,""",""style"":""font-size:14px;width:85%;float:left""},{""type"":""input"",""title"":""папка"",""name"":""e",T5,""",""state"":""{{e",T5,"}}"",""pattern"":""[0-9]{1,2}"",""style"":""",AL4,"""},{""type"":""hr""},")</f>
        <v>{"type":"h4","title":"1. Аврора","style":"font-size:14px;width:85%;float:left"},{"type":"input","title":"папка","name":"e1","state":"{{e1}}","pattern":"[0-9]{1,2}","style":"background: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" s="2" t="str">
        <f ca="1">CONCATENATE("""",A5,"""",": """,A5,".",C5,""",")</f>
        <v>"1": "1.Аврора",</v>
      </c>
      <c r="AI5" s="16"/>
      <c r="AJ5" s="2" t="str">
        <f t="shared" ca="1" si="7"/>
        <v>1. Аврора,1,255,50,50,0;</v>
      </c>
      <c r="AK5" s="2" t="str">
        <f ca="1">CONCATENATE(A5,".",C5)</f>
        <v>1.Аврора</v>
      </c>
      <c r="AL5" s="29" t="s">
        <v>434</v>
      </c>
    </row>
    <row r="6" spans="1:56" ht="14.25" customHeight="1">
      <c r="A6" s="33">
        <f t="shared" ca="1" si="8"/>
        <v>2</v>
      </c>
      <c r="B6" s="38" t="s">
        <v>37</v>
      </c>
      <c r="C6" s="38" t="s">
        <v>38</v>
      </c>
      <c r="H6" s="38">
        <v>17</v>
      </c>
      <c r="I6" s="38">
        <v>200</v>
      </c>
      <c r="J6" s="38">
        <v>65</v>
      </c>
      <c r="L6" s="38">
        <v>1</v>
      </c>
      <c r="M6" s="38">
        <v>255</v>
      </c>
      <c r="N6" s="38">
        <v>1</v>
      </c>
      <c r="O6" s="38">
        <v>100</v>
      </c>
      <c r="P6" s="38">
        <v>0</v>
      </c>
      <c r="Q6" s="38" t="s">
        <v>39</v>
      </c>
      <c r="R6" s="38" t="s">
        <v>40</v>
      </c>
      <c r="S6" s="38">
        <v>2</v>
      </c>
      <c r="T6" s="38">
        <f t="shared" ca="1" si="9"/>
        <v>2</v>
      </c>
      <c r="U6" s="15"/>
      <c r="V6" s="2" t="str">
        <f t="shared" ref="V6:V8" ca="1" si="10">CONCATENATE("#define EFF_",B6,REPT(" ",20-LEN(B6)),"(",REPT(" ",3-LEN(T6)),T6,"U)    // ",C6)</f>
        <v>#define EFF_WATERCOLOR          (  2U)    // Акварель</v>
      </c>
      <c r="W6" s="2" t="str">
        <f ca="1">CONCATENATE("String(""",A6,". ",C6,",",L6,",",M6,",",N6,",",O6,",",P6,";"") +")</f>
        <v>String("2. Акварель,1,255,1,100,0;") +</v>
      </c>
      <c r="X6" s="2" t="str">
        <f ca="1">CONCATENATE("String(""",A6,". ",D6,",",L6,",",M6,",",N6,",",O6,",",P6,";"") +")</f>
        <v>String("2. ,1,255,1,100,0;") +</v>
      </c>
      <c r="Y6" s="2" t="str">
        <f ca="1">CONCATENATE("String(""",A6,". ",E6,",",L6,",",M6,",",N6,",",O6,",",P6,";"") +")</f>
        <v>String("2. ,1,255,1,100,0;") +</v>
      </c>
      <c r="Z6" s="2" t="str">
        <f t="shared" ref="Z6:Z51" ca="1" si="11">CONCATENATE(A6,";",H6,";",I6,";",J6,";",C6)</f>
        <v>2;17;200;65;Акварель</v>
      </c>
      <c r="AA6" s="2" t="str">
        <f ca="1">CONCATENATE("        case EFF_",B6,":",REPT(" ",20-LEN(B6)),Q6," { effTimer = millis(); ",R6,REPT(" ",30-LEN(R6)),"Eff_Tick (); }","  break;  // (",REPT(" ",3-LEN(T6)),T6,"U) ",C6)</f>
        <v xml:space="preserve">        case EFF_WATERCOLOR:          DYNAMIC_DELAY_TICK { effTimer = millis(); Watercolor();                 Eff_Tick (); }  break;  // (  2U) Акварель</v>
      </c>
      <c r="AC6" s="4" t="str">
        <f ca="1">CONCATENATE("""","e",T6,"""",":0,")</f>
        <v>"e2":0,</v>
      </c>
      <c r="AD6" s="4" t="str">
        <f ca="1">CONCATENATE("e",T6,"=[[e",T6,"]]&amp;")</f>
        <v>e2=[[e2]]&amp;</v>
      </c>
      <c r="AE6" s="4" t="str">
        <f ca="1">CONCATENATE("""","e",T6,"""",":",S6,",")</f>
        <v>"e2":2,</v>
      </c>
      <c r="AF6" s="2" t="str">
        <f t="shared" ref="AF6:AF7" ca="1" si="12">CONCATENATE("{""type"":""checkbox"",""class"":""checkbox-big"",""name"":""e",T6,""",""title"":""",A6,". ",C6,""",""style"":""font-size:16px;display:block"",""state"":""{{e",T6,"}}""},")</f>
        <v>{"type":"checkbox","class":"checkbox-big","name":"e2","title":"2. Акварель","style":"font-size:16px;display:block","state":"{{e2}}"},</v>
      </c>
      <c r="AG6" s="2" t="str">
        <f ca="1">CONCATENATE("{""type"":""h4"",""title"":""",A6,". ",C6,""",""style"":""font-size:14px;width:85%;float:left""},{""type"":""input"",""title"":""папка"",""name"":""e",T6,""",""state"":""{{e",T6,"}}"",""pattern"":""[0-9]{1,2}"",""style"":""",AL5,"""},{""type"":""hr""},")</f>
        <v>{"type":"h4","title":"2. Акварель","style":"font-size:14px;width:85%;float:left"},{"type":"input","title":"папка","name":"e2","state":"{{e2}}","pattern":"[0-9]{1,2}","style":"background: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" s="2" t="str">
        <f t="shared" ref="AH6:AH8" ca="1" si="13">CONCATENATE("""",A6,"""",": """,A6,".",C6,""",")</f>
        <v>"2": "2.Акварель",</v>
      </c>
      <c r="AI6" s="16"/>
      <c r="AJ6" s="2" t="str">
        <f ca="1">CONCATENATE(A6,". ",C6,",",L6,",",M6,",",N6,",",O6,",",P6,";")</f>
        <v>2. Акварель,1,255,1,100,0;</v>
      </c>
      <c r="AK6" s="2" t="str">
        <f t="shared" ref="AK6:AK51" ca="1" si="14">CONCATENATE(A6,".",C6)</f>
        <v>2.Акварель</v>
      </c>
      <c r="AL6" s="29" t="s">
        <v>434</v>
      </c>
      <c r="AM6" s="2"/>
      <c r="AN6" s="17"/>
      <c r="AO6" s="2"/>
      <c r="AP6" s="2"/>
      <c r="AQ6" s="2"/>
      <c r="AR6" s="2"/>
      <c r="AS6" s="16"/>
      <c r="AT6" s="2"/>
      <c r="AU6" s="2"/>
      <c r="AV6" s="18"/>
      <c r="AW6" s="18"/>
      <c r="AX6" s="18"/>
      <c r="AY6" s="18"/>
      <c r="AZ6" s="18"/>
      <c r="BA6" s="18"/>
      <c r="BB6" s="18"/>
      <c r="BC6" s="18"/>
      <c r="BD6" s="18"/>
    </row>
    <row r="7" spans="1:56">
      <c r="A7" s="33">
        <f t="shared" ca="1" si="8"/>
        <v>3</v>
      </c>
      <c r="B7" s="38" t="s">
        <v>396</v>
      </c>
      <c r="C7" s="38" t="s">
        <v>395</v>
      </c>
      <c r="H7" s="38">
        <v>10</v>
      </c>
      <c r="I7" s="38">
        <v>215</v>
      </c>
      <c r="J7" s="38">
        <v>60</v>
      </c>
      <c r="L7" s="38">
        <v>100</v>
      </c>
      <c r="M7" s="38">
        <v>255</v>
      </c>
      <c r="N7" s="38">
        <v>1</v>
      </c>
      <c r="O7" s="38">
        <v>100</v>
      </c>
      <c r="P7" s="38">
        <v>0</v>
      </c>
      <c r="Q7" s="38" t="s">
        <v>39</v>
      </c>
      <c r="R7" s="38" t="s">
        <v>397</v>
      </c>
      <c r="S7" s="38">
        <v>2</v>
      </c>
      <c r="T7" s="38">
        <f t="shared" ca="1" si="9"/>
        <v>3</v>
      </c>
      <c r="V7" s="2" t="str">
        <f t="shared" ca="1" si="10"/>
        <v>#define EFF_FLOWERRUTA          (  3U)    // Аленький цветочек</v>
      </c>
      <c r="Z7" s="2" t="str">
        <f t="shared" ca="1" si="11"/>
        <v>3;10;215;60;Аленький цветочек</v>
      </c>
      <c r="AA7" s="2" t="str">
        <f ca="1">CONCATENATE("        case EFF_",B7,":",REPT(" ",20-LEN(B7)),Q7," { effTimer = millis(); ",R7,REPT(" ",30-LEN(R7)),"Eff_Tick (); }","  break;  // (",REPT(" ",3-LEN(T7)),T7,"U) ",C7)</f>
        <v xml:space="preserve">        case EFF_FLOWERRUTA:          DYNAMIC_DELAY_TICK { effTimer = millis(); FlowerRuta();                 Eff_Tick (); }  break;  // (  3U) Аленький цветочек</v>
      </c>
      <c r="AC7" s="4" t="str">
        <f ca="1">CONCATENATE("""","e",T7,"""",":0,")</f>
        <v>"e3":0,</v>
      </c>
      <c r="AD7" s="4" t="str">
        <f ca="1">CONCATENATE("e",T7,"=[[e",T7,"]]&amp;")</f>
        <v>e3=[[e3]]&amp;</v>
      </c>
      <c r="AE7" s="4" t="str">
        <f ca="1">CONCATENATE("""","e",T7,"""",":",S7,",")</f>
        <v>"e3":2,</v>
      </c>
      <c r="AF7" s="2" t="str">
        <f t="shared" ca="1" si="12"/>
        <v>{"type":"checkbox","class":"checkbox-big","name":"e3","title":"3. Аленький цветочек","style":"font-size:16px;display:block","state":"{{e3}}"},</v>
      </c>
      <c r="AG7" s="2" t="str">
        <f ca="1">CONCATENATE("{""type"":""h4"",""title"":""",A7,". ",C7,""",""style"":""font-size:14px;width:85%;float:left""},{""type"":""input"",""title"":""папка"",""name"":""e",T7,""",""state"":""{{e",T7,"}}"",""pattern"":""[0-9]{1,2}"",""style"":""",AL7,"""},{""type"":""hr""},")</f>
        <v>{"type":"h4","title":"3. Аленький цветочек","style":"font-size:14px;width:85%;float:left"},{"type":"input","title":"папка","name":"e3","state":"{{e3}}","pattern":"[0-9]{1,2}","style":"background: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" s="2" t="str">
        <f t="shared" ca="1" si="13"/>
        <v>"3": "3.Аленький цветочек",</v>
      </c>
      <c r="AI7" s="16"/>
      <c r="AJ7" s="2" t="str">
        <f ca="1">CONCATENATE(A7,". ",C7,",",L7,",",M7,",",N7,",",O7,",",P7,";")</f>
        <v>3. Аленький цветочек,100,255,1,100,0;</v>
      </c>
      <c r="AK7" s="2" t="str">
        <f t="shared" ca="1" si="14"/>
        <v>3.Аленький цветочек</v>
      </c>
      <c r="AL7" s="29" t="s">
        <v>434</v>
      </c>
    </row>
    <row r="8" spans="1:56">
      <c r="A8" s="33">
        <f t="shared" ca="1" si="8"/>
        <v>4</v>
      </c>
      <c r="B8" s="38" t="s">
        <v>440</v>
      </c>
      <c r="C8" s="38" t="s">
        <v>436</v>
      </c>
      <c r="H8" s="38">
        <v>10</v>
      </c>
      <c r="I8" s="38">
        <v>11</v>
      </c>
      <c r="J8" s="38">
        <v>3</v>
      </c>
      <c r="L8" s="38">
        <v>25</v>
      </c>
      <c r="M8" s="38">
        <v>85</v>
      </c>
      <c r="N8" s="38">
        <v>20</v>
      </c>
      <c r="O8" s="38">
        <v>100</v>
      </c>
      <c r="P8" s="38">
        <v>0</v>
      </c>
      <c r="Q8" s="38" t="s">
        <v>76</v>
      </c>
      <c r="R8" s="38" t="s">
        <v>447</v>
      </c>
      <c r="S8" s="38">
        <v>2</v>
      </c>
      <c r="T8" s="38">
        <f t="shared" ca="1" si="9"/>
        <v>4</v>
      </c>
      <c r="V8" s="2" t="str">
        <f t="shared" ca="1" si="10"/>
        <v>#define EFF_BUTTERFLY           (  4U)    // Бабочка</v>
      </c>
      <c r="Z8" s="2" t="str">
        <f t="shared" ca="1" si="11"/>
        <v>4;10;11;3;Бабочка</v>
      </c>
      <c r="AA8" s="2" t="str">
        <f ca="1">CONCATENATE("        case EFF_",B8,":",REPT(" ",20-LEN(B8)),Q8," { effTimer = millis(); ",R8,REPT(" ",30-LEN(R8)),"Eff_Tick (); }","  break;  // (",REPT(" ",3-LEN(T8)),T8,"U) ",C8)</f>
        <v xml:space="preserve">        case EFF_BUTTERFLY:           LOW_DELAY_TICK { effTimer = millis(); butterflyRoutine();           Eff_Tick (); }  break;  // (  4U) Бабочка</v>
      </c>
      <c r="AC8" s="4" t="str">
        <f t="shared" ref="AC8" ca="1" si="15">CONCATENATE("""","e",T8,"""",":0,")</f>
        <v>"e4":0,</v>
      </c>
      <c r="AD8" s="4" t="str">
        <f ca="1">CONCATENATE("e",T8,"=[[e",T8,"]]&amp;")</f>
        <v>e4=[[e4]]&amp;</v>
      </c>
      <c r="AE8" s="4" t="str">
        <f ca="1">CONCATENATE("""","e",T8,"""",":",S8,",")</f>
        <v>"e4":2,</v>
      </c>
      <c r="AF8" s="2" t="str">
        <f t="shared" ref="AF8:AF33" ca="1" si="16">CONCATENATE("{""type"":""checkbox"",""class"":""checkbox-big"",""name"":""e",T8,""",""title"":""",A8,". ",C8,""",""style"":""font-size:16px;display:block"",""state"":""{{e",T8,"}}""},")</f>
        <v>{"type":"checkbox","class":"checkbox-big","name":"e4","title":"4. Бабочка","style":"font-size:16px;display:block","state":"{{e4}}"},</v>
      </c>
      <c r="AG8" s="2" t="str">
        <f ca="1">CONCATENATE("{""type"":""h4"",""title"":""",A8,". ",C8,""",""style"":""font-size:14px;width:85%;float:left""},{""type"":""input"",""title"":""папка"",""name"":""e",T8,""",""state"":""{{e",T8,"}}"",""pattern"":""[0-9]{1,2}"",""style"":""",AL8,"""},{""type"":""hr""},")</f>
        <v>{"type":"h4","title":"4. Бабочка","style":"font-size:14px;width:85%;float:left"},{"type":"input","title":"папка","name":"e4","state":"{{e4}}","pattern":"[0-9]{1,2}","style":"background: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" s="2" t="str">
        <f t="shared" ca="1" si="13"/>
        <v>"4": "4.Бабочка",</v>
      </c>
      <c r="AI8" s="16"/>
      <c r="AJ8" s="2" t="str">
        <f ca="1">CONCATENATE(A8,". ",C8,",",L8,",",M8,",",N8,",",O8,",",P8,";")</f>
        <v>4. Бабочка,25,85,20,100,0;</v>
      </c>
      <c r="AK8" s="2" t="str">
        <f t="shared" ca="1" si="14"/>
        <v>4.Бабочка</v>
      </c>
      <c r="AL8" s="29" t="s">
        <v>434</v>
      </c>
    </row>
    <row r="9" spans="1:56" ht="14.25" customHeight="1">
      <c r="A9" s="33">
        <f ca="1">MAX(OFFSET(A9,-4,0,4,1))+1</f>
        <v>5</v>
      </c>
      <c r="B9" s="38" t="s">
        <v>41</v>
      </c>
      <c r="C9" s="38" t="s">
        <v>42</v>
      </c>
      <c r="H9" s="38">
        <v>17</v>
      </c>
      <c r="I9" s="38">
        <v>185</v>
      </c>
      <c r="J9" s="38">
        <v>63</v>
      </c>
      <c r="L9" s="38">
        <v>99</v>
      </c>
      <c r="M9" s="38">
        <v>255</v>
      </c>
      <c r="N9" s="38">
        <v>1</v>
      </c>
      <c r="O9" s="38">
        <v>100</v>
      </c>
      <c r="P9" s="38">
        <v>1</v>
      </c>
      <c r="Q9" s="38" t="s">
        <v>39</v>
      </c>
      <c r="R9" s="38" t="s">
        <v>43</v>
      </c>
      <c r="S9" s="38">
        <v>2</v>
      </c>
      <c r="T9" s="38">
        <f t="shared" ref="T9:T16" ca="1" si="17">MAX(OFFSET(T9,-4,0,4,1))+1</f>
        <v>5</v>
      </c>
      <c r="U9" s="15"/>
      <c r="V9" s="2" t="str">
        <f ca="1">CONCATENATE("#define EFF_",B9,REPT(" ",20-LEN(B9)),"(",REPT(" ",3-LEN(T9)),T9,"U)    // ",C9)</f>
        <v>#define EFF_EFF_POOL            (  5U)    // Бассейн</v>
      </c>
      <c r="W9" s="2"/>
      <c r="X9" s="2"/>
      <c r="Y9" s="2"/>
      <c r="Z9" s="2" t="str">
        <f t="shared" ca="1" si="11"/>
        <v>5;17;185;63;Бассейн</v>
      </c>
      <c r="AA9" s="2" t="str">
        <f ca="1">CONCATENATE("        case EFF_",B9,":",REPT(" ",20-LEN(B9)),Q9," { effTimer = millis(); ",R9,REPT(" ",30-LEN(R9)),"Eff_Tick (); }","  break;  // (",REPT(" ",3-LEN(T9)),T9,"U) ",C9)</f>
        <v xml:space="preserve">        case EFF_EFF_POOL:            DYNAMIC_DELAY_TICK { effTimer = millis(); poolRoutine();                Eff_Tick (); }  break;  // (  5U) Бассейн</v>
      </c>
      <c r="AB9" s="2"/>
      <c r="AC9" s="4" t="str">
        <f ca="1">CONCATENATE("""","e",T9,"""",":0,")</f>
        <v>"e5":0,</v>
      </c>
      <c r="AD9" s="4" t="str">
        <f ca="1">CONCATENATE("e",T9,"=[[e",T9,"]]&amp;")</f>
        <v>e5=[[e5]]&amp;</v>
      </c>
      <c r="AE9" s="4" t="str">
        <f ca="1">CONCATENATE("""","e",T9,"""",":",S9,",")</f>
        <v>"e5":2,</v>
      </c>
      <c r="AF9" s="2" t="str">
        <f t="shared" ca="1" si="16"/>
        <v>{"type":"checkbox","class":"checkbox-big","name":"e5","title":"5. Бассейн","style":"font-size:16px;display:block","state":"{{e5}}"},</v>
      </c>
      <c r="AG9" s="2" t="str">
        <f ca="1">CONCATENATE("{""type"":""h4"",""title"":""",A9,". ",C9,""",""style"":""font-size:14px;width:85%;float:left""},{""type"":""input"",""title"":""папка"",""name"":""e",T9,""",""state"":""{{e",T9,"}}"",""pattern"":""[0-9]{1,2}"",""style"":""",AL9,"""},{""type"":""hr""},")</f>
        <v>{"type":"h4","title":"5. Бассейн","style":"font-size:14px;width:85%;float:left"},{"type":"input","title":"папка","name":"e5","state":"{{e5}}","pattern":"[0-9]{1,2}","style":"background: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" s="2" t="str">
        <f ca="1">CONCATENATE("""",A9,"""",": """,A9,".",C9,""",")</f>
        <v>"5": "5.Бассейн",</v>
      </c>
      <c r="AI9" s="16"/>
      <c r="AJ9" s="2" t="str">
        <f ca="1">CONCATENATE(A9,". ",C9,",",L9,",",M9,",",N9,",",O9,",",P9,";")</f>
        <v>5. Бассейн,99,255,1,100,1;</v>
      </c>
      <c r="AK9" s="2" t="str">
        <f t="shared" ca="1" si="14"/>
        <v>5.Бассейн</v>
      </c>
      <c r="AL9" s="29" t="s">
        <v>434</v>
      </c>
      <c r="AM9" s="2"/>
      <c r="AN9" s="17"/>
      <c r="AO9" s="2"/>
      <c r="AP9" s="2"/>
      <c r="AQ9" s="2"/>
      <c r="AR9" s="2"/>
      <c r="AS9" s="16"/>
      <c r="AT9" s="2"/>
      <c r="AU9" s="2"/>
      <c r="AV9" s="18"/>
      <c r="AW9" s="18"/>
      <c r="AX9" s="18"/>
      <c r="AY9" s="18"/>
      <c r="AZ9" s="18"/>
      <c r="BA9" s="18"/>
      <c r="BB9" s="18"/>
      <c r="BC9" s="18"/>
      <c r="BD9" s="18"/>
    </row>
    <row r="10" spans="1:56">
      <c r="A10" s="33">
        <f t="shared" ref="A10:A19" ca="1" si="18">MAX(OFFSET(A10,-4,0,4,1))+1</f>
        <v>6</v>
      </c>
      <c r="B10" s="38" t="s">
        <v>392</v>
      </c>
      <c r="C10" s="38" t="s">
        <v>393</v>
      </c>
      <c r="H10" s="38">
        <v>10</v>
      </c>
      <c r="I10" s="38">
        <v>215</v>
      </c>
      <c r="J10" s="38">
        <v>90</v>
      </c>
      <c r="L10" s="38">
        <v>100</v>
      </c>
      <c r="M10" s="38">
        <v>255</v>
      </c>
      <c r="N10" s="38">
        <v>1</v>
      </c>
      <c r="O10" s="38">
        <v>100</v>
      </c>
      <c r="P10" s="38">
        <v>0</v>
      </c>
      <c r="Q10" s="38" t="s">
        <v>39</v>
      </c>
      <c r="R10" s="38" t="s">
        <v>394</v>
      </c>
      <c r="S10" s="38">
        <v>2</v>
      </c>
      <c r="T10" s="38">
        <f t="shared" ca="1" si="17"/>
        <v>6</v>
      </c>
      <c r="V10" s="2" t="str">
        <f ca="1">CONCATENATE("#define EFF_",B10,REPT(" ",20-LEN(B10)),"(",REPT(" ",3-LEN(T10)),T10,"U)    // ",C10)</f>
        <v>#define EFF_BAMBOO              (  6U)    // Бамбук</v>
      </c>
      <c r="Z10" s="2" t="str">
        <f t="shared" ca="1" si="11"/>
        <v>6;10;215;90;Бамбук</v>
      </c>
      <c r="AA10" s="2" t="str">
        <f t="shared" ref="AA10:AA19" ca="1" si="19">CONCATENATE("        case EFF_",B10,":",REPT(" ",20-LEN(B10)),Q10," { effTimer = millis(); ",R10,REPT(" ",30-LEN(R10)),"Eff_Tick (); }","  break;  // (",REPT(" ",3-LEN(T10)),T10,"U) ",C10)</f>
        <v xml:space="preserve">        case EFF_BAMBOO :             DYNAMIC_DELAY_TICK { effTimer = millis(); Bamboo();                     Eff_Tick (); }  break;  // (  6U) Бамбук</v>
      </c>
      <c r="AC10" s="4" t="str">
        <f t="shared" ref="AC10:AC19" ca="1" si="20">CONCATENATE("""","e",T10,"""",":0,")</f>
        <v>"e6":0,</v>
      </c>
      <c r="AD10" s="4" t="str">
        <f t="shared" ref="AD10:AD19" ca="1" si="21">CONCATENATE("e",T10,"=[[e",T10,"]]&amp;")</f>
        <v>e6=[[e6]]&amp;</v>
      </c>
      <c r="AE10" s="4" t="str">
        <f t="shared" ref="AE10:AE19" ca="1" si="22">CONCATENATE("""","e",T10,"""",":",S10,",")</f>
        <v>"e6":2,</v>
      </c>
      <c r="AF10" s="2" t="str">
        <f t="shared" ca="1" si="16"/>
        <v>{"type":"checkbox","class":"checkbox-big","name":"e6","title":"6. Бамбук","style":"font-size:16px;display:block","state":"{{e6}}"},</v>
      </c>
      <c r="AG10" s="2" t="str">
        <f t="shared" ref="AG10:AG29" ca="1" si="23">CONCATENATE("{""type"":""h4"",""title"":""",A10,". ",C10,""",""style"":""font-size:14px;width:85%;float:left""},{""type"":""input"",""title"":""папка"",""name"":""e",T10,""",""state"":""{{e",T10,"}}"",""pattern"":""[0-9]{1,2}"",""style"":""",AL10,"""},{""type"":""hr""},")</f>
        <v>{"type":"h4","title":"6. Бамбук","style":"font-size:14px;width:85%;float:left"},{"type":"input","title":"папка","name":"e6","state":"{{e6}}","pattern":"[0-9]{1,2}","style":"background: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" s="2" t="str">
        <f t="shared" ref="AH10:AH19" ca="1" si="24">CONCATENATE("""",A10,"""",": """,A10,".",C10,""",")</f>
        <v>"6": "6.Бамбук",</v>
      </c>
      <c r="AI10" s="16"/>
      <c r="AJ10" s="2" t="str">
        <f t="shared" ref="AJ10:AJ19" ca="1" si="25">CONCATENATE(A10,". ",C10,",",L10,",",M10,",",N10,",",O10,",",P10,";")</f>
        <v>6. Бамбук,100,255,1,100,0;</v>
      </c>
      <c r="AK10" s="2" t="str">
        <f t="shared" ca="1" si="14"/>
        <v>6.Бамбук</v>
      </c>
      <c r="AL10" s="29" t="s">
        <v>434</v>
      </c>
    </row>
    <row r="11" spans="1:56" ht="14.25" customHeight="1">
      <c r="A11" s="33">
        <f t="shared" ca="1" si="18"/>
        <v>7</v>
      </c>
      <c r="B11" s="38" t="s">
        <v>44</v>
      </c>
      <c r="C11" s="38" t="s">
        <v>45</v>
      </c>
      <c r="H11" s="38">
        <v>15</v>
      </c>
      <c r="I11" s="38">
        <v>20</v>
      </c>
      <c r="J11" s="38">
        <v>60</v>
      </c>
      <c r="L11" s="38">
        <v>1</v>
      </c>
      <c r="M11" s="38">
        <v>150</v>
      </c>
      <c r="N11" s="38">
        <v>1</v>
      </c>
      <c r="O11" s="38">
        <v>100</v>
      </c>
      <c r="P11" s="38">
        <v>0</v>
      </c>
      <c r="Q11" s="38" t="s">
        <v>35</v>
      </c>
      <c r="R11" s="38" t="s">
        <v>46</v>
      </c>
      <c r="S11" s="38">
        <v>2</v>
      </c>
      <c r="T11" s="38">
        <f t="shared" ca="1" si="17"/>
        <v>7</v>
      </c>
      <c r="U11" s="15"/>
      <c r="V11" s="2" t="str">
        <f t="shared" ref="V11:V19" ca="1" si="26">CONCATENATE("#define EFF_",B11,REPT(" ",20-LEN(B11)),"(",REPT(" ",3-LEN(T11)),T11,"U)    // ",C11)</f>
        <v>#define EFF_MADNESS             (  7U)    // Безумие</v>
      </c>
      <c r="W11" s="2" t="str">
        <f ca="1">CONCATENATE("String(""",A11,". ",C11,",",L11,",",M11,",",N11,",",O11,",",P11,";"") +")</f>
        <v>String("7. Безумие,1,150,1,100,0;") +</v>
      </c>
      <c r="X11" s="2" t="str">
        <f ca="1">CONCATENATE("String(""",A11,". ",D11,",",L11,",",M11,",",N11,",",O11,",",P11,";"") +")</f>
        <v>String("7. ,1,150,1,100,0;") +</v>
      </c>
      <c r="Y11" s="2" t="str">
        <f ca="1">CONCATENATE("String(""",A11,". ",E11,",",L11,",",M11,",",N11,",",O11,",",P11,";"") +")</f>
        <v>String("7. ,1,150,1,100,0;") +</v>
      </c>
      <c r="Z11" s="2" t="str">
        <f t="shared" ca="1" si="11"/>
        <v>7;15;20;60;Безумие</v>
      </c>
      <c r="AA11" s="2" t="str">
        <f t="shared" ca="1" si="19"/>
        <v xml:space="preserve">        case EFF_MADNESS:             HIGH_DELAY_TICK { effTimer = millis(); madnessNoiseRoutine();        Eff_Tick (); }  break;  // (  7U) Безумие</v>
      </c>
      <c r="AB11" s="2" t="str">
        <f ca="1">CONCATENATE("{""name"":""",A11,". ",C11,""",""spmin"":",L11,",""spmax"":",M11,",""scmin"":",N11,",""scmax"":",O11,",""type"":",P11,"},")</f>
        <v>{"name":"7. Безумие","spmin":1,"spmax":150,"scmin":1,"scmax":100,"type":0},</v>
      </c>
      <c r="AC11" s="4" t="str">
        <f t="shared" ca="1" si="20"/>
        <v>"e7":0,</v>
      </c>
      <c r="AD11" s="4" t="str">
        <f t="shared" ca="1" si="21"/>
        <v>e7=[[e7]]&amp;</v>
      </c>
      <c r="AE11" s="4" t="str">
        <f t="shared" ca="1" si="22"/>
        <v>"e7":2,</v>
      </c>
      <c r="AF11" s="2" t="str">
        <f t="shared" ca="1" si="16"/>
        <v>{"type":"checkbox","class":"checkbox-big","name":"e7","title":"7. Безумие","style":"font-size:16px;display:block","state":"{{e7}}"},</v>
      </c>
      <c r="AG11" s="2" t="str">
        <f t="shared" ca="1" si="23"/>
        <v>{"type":"h4","title":"7. Безумие","style":"font-size:14px;width:85%;float:left"},{"type":"input","title":"папка","name":"e7","state":"{{e7}}","pattern":"[0-9]{1,2}","style":"background: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" s="2" t="str">
        <f t="shared" ca="1" si="24"/>
        <v>"7": "7.Безумие",</v>
      </c>
      <c r="AI11" s="16"/>
      <c r="AJ11" s="2" t="str">
        <f t="shared" ca="1" si="25"/>
        <v>7. Безумие,1,150,1,100,0;</v>
      </c>
      <c r="AK11" s="2" t="str">
        <f t="shared" ca="1" si="14"/>
        <v>7.Безумие</v>
      </c>
      <c r="AL11" s="29" t="s">
        <v>434</v>
      </c>
      <c r="AM11" s="2"/>
      <c r="AN11" s="17"/>
      <c r="AO11" s="2"/>
      <c r="AP11" s="2"/>
      <c r="AQ11" s="2"/>
      <c r="AR11" s="2"/>
      <c r="AS11" s="16"/>
      <c r="AT11" s="2"/>
      <c r="AU11" s="2"/>
      <c r="AV11" s="18"/>
      <c r="AW11" s="18"/>
      <c r="AX11" s="18"/>
      <c r="AY11" s="18"/>
      <c r="AZ11" s="18"/>
      <c r="BA11" s="18"/>
      <c r="BB11" s="18"/>
      <c r="BC11" s="18"/>
      <c r="BD11" s="18"/>
    </row>
    <row r="12" spans="1:56">
      <c r="A12" s="33">
        <f t="shared" ca="1" si="18"/>
        <v>8</v>
      </c>
      <c r="B12" s="38" t="s">
        <v>398</v>
      </c>
      <c r="C12" s="38" t="s">
        <v>399</v>
      </c>
      <c r="H12" s="38">
        <v>10</v>
      </c>
      <c r="I12" s="38">
        <v>150</v>
      </c>
      <c r="J12" s="38">
        <v>50</v>
      </c>
      <c r="L12" s="38">
        <v>99</v>
      </c>
      <c r="M12" s="38">
        <v>220</v>
      </c>
      <c r="N12" s="38">
        <v>1</v>
      </c>
      <c r="O12" s="38">
        <v>100</v>
      </c>
      <c r="P12" s="38">
        <v>0</v>
      </c>
      <c r="Q12" s="38" t="s">
        <v>39</v>
      </c>
      <c r="R12" s="38" t="s">
        <v>403</v>
      </c>
      <c r="S12" s="38">
        <v>2</v>
      </c>
      <c r="T12" s="38">
        <f t="shared" ca="1" si="17"/>
        <v>8</v>
      </c>
      <c r="V12" s="2" t="str">
        <f t="shared" ca="1" si="26"/>
        <v>#define EFF_BALLROUTINE         (  8U)    // Блуждающий кубик</v>
      </c>
      <c r="Z12" s="2" t="str">
        <f t="shared" ca="1" si="11"/>
        <v>8;10;150;50;Блуждающий кубик</v>
      </c>
      <c r="AA12" s="2" t="str">
        <f t="shared" ca="1" si="19"/>
        <v xml:space="preserve">        case EFF_BALLROUTINE:         DYNAMIC_DELAY_TICK { effTimer = millis(); ballRoutine();                Eff_Tick (); }  break;  // (  8U) Блуждающий кубик</v>
      </c>
      <c r="AC12" s="4" t="str">
        <f t="shared" ca="1" si="20"/>
        <v>"e8":0,</v>
      </c>
      <c r="AD12" s="4" t="str">
        <f t="shared" ca="1" si="21"/>
        <v>e8=[[e8]]&amp;</v>
      </c>
      <c r="AE12" s="4" t="str">
        <f t="shared" ca="1" si="22"/>
        <v>"e8":2,</v>
      </c>
      <c r="AF12" s="2" t="str">
        <f t="shared" ca="1" si="16"/>
        <v>{"type":"checkbox","class":"checkbox-big","name":"e8","title":"8. Блуждающий кубик","style":"font-size:16px;display:block","state":"{{e8}}"},</v>
      </c>
      <c r="AG12" s="2" t="str">
        <f t="shared" ca="1" si="23"/>
        <v>{"type":"h4","title":"8. Блуждающий кубик","style":"font-size:14px;width:85%;float:left"},{"type":"input","title":"папка","name":"e8","state":"{{e8}}","pattern":"[0-9]{1,2}","style":"background: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" s="2" t="str">
        <f t="shared" ca="1" si="24"/>
        <v>"8": "8.Блуждающий кубик",</v>
      </c>
      <c r="AI12" s="16"/>
      <c r="AJ12" s="2" t="str">
        <f t="shared" ca="1" si="25"/>
        <v>8. Блуждающий кубик,99,220,1,100,0;</v>
      </c>
      <c r="AK12" s="2" t="str">
        <f t="shared" ca="1" si="14"/>
        <v>8.Блуждающий кубик</v>
      </c>
      <c r="AL12" s="29" t="s">
        <v>434</v>
      </c>
    </row>
    <row r="13" spans="1:56" ht="14.25" customHeight="1">
      <c r="A13" s="33">
        <f t="shared" ca="1" si="18"/>
        <v>9</v>
      </c>
      <c r="B13" s="38" t="s">
        <v>47</v>
      </c>
      <c r="C13" s="38" t="s">
        <v>48</v>
      </c>
      <c r="H13" s="38">
        <v>15</v>
      </c>
      <c r="I13" s="38">
        <v>212</v>
      </c>
      <c r="J13" s="38">
        <v>54</v>
      </c>
      <c r="L13" s="38">
        <v>99</v>
      </c>
      <c r="M13" s="38">
        <v>255</v>
      </c>
      <c r="N13" s="38">
        <v>1</v>
      </c>
      <c r="O13" s="38">
        <v>100</v>
      </c>
      <c r="P13" s="38">
        <v>1</v>
      </c>
      <c r="Q13" s="38" t="s">
        <v>39</v>
      </c>
      <c r="R13" s="38" t="s">
        <v>49</v>
      </c>
      <c r="S13" s="38">
        <v>7</v>
      </c>
      <c r="T13" s="38">
        <f t="shared" ca="1" si="17"/>
        <v>9</v>
      </c>
      <c r="U13" s="15"/>
      <c r="V13" s="2" t="str">
        <f t="shared" ca="1" si="26"/>
        <v>#define EFF_WATERFALL           (  9U)    // Водопад</v>
      </c>
      <c r="W13" s="2" t="str">
        <f t="shared" ref="W13:W19" ca="1" si="27">CONCATENATE("String(""",A13,". ",C13,",",L13,",",M13,",",N13,",",O13,",",P13,";"") +")</f>
        <v>String("9. Водопад,99,255,1,100,1;") +</v>
      </c>
      <c r="X13" s="2" t="str">
        <f t="shared" ref="X13:X19" ca="1" si="28">CONCATENATE("String(""",A13,". ",D13,",",L13,",",M13,",",N13,",",O13,",",P13,";"") +")</f>
        <v>String("9. ,99,255,1,100,1;") +</v>
      </c>
      <c r="Y13" s="2" t="str">
        <f t="shared" ref="Y13:Y19" ca="1" si="29">CONCATENATE("String(""",A13,". ",E13,",",L13,",",M13,",",N13,",",O13,",",P13,";"") +")</f>
        <v>String("9. ,99,255,1,100,1;") +</v>
      </c>
      <c r="Z13" s="2" t="str">
        <f t="shared" ca="1" si="11"/>
        <v>9;15;212;54;Водопад</v>
      </c>
      <c r="AA13" s="2" t="str">
        <f t="shared" ca="1" si="19"/>
        <v xml:space="preserve">        case EFF_WATERFALL:           DYNAMIC_DELAY_TICK { effTimer = millis(); fire2012WithPalette();        Eff_Tick (); }  break;  // (  9U) Водопад</v>
      </c>
      <c r="AB13" s="2" t="str">
        <f ca="1">CONCATENATE("{""name"":""",A13,". ",C13,""",""spmin"":",L13,",""spmax"":",M13,",""scmin"":",N13,",""scmax"":",O13,",""type"":",P13,"},")</f>
        <v>{"name":"9. Водопад","spmin":99,"spmax":255,"scmin":1,"scmax":100,"type":1},</v>
      </c>
      <c r="AC13" s="4" t="str">
        <f t="shared" ca="1" si="20"/>
        <v>"e9":0,</v>
      </c>
      <c r="AD13" s="4" t="str">
        <f t="shared" ca="1" si="21"/>
        <v>e9=[[e9]]&amp;</v>
      </c>
      <c r="AE13" s="4" t="str">
        <f t="shared" ca="1" si="22"/>
        <v>"e9":7,</v>
      </c>
      <c r="AF13" s="2" t="str">
        <f t="shared" ca="1" si="16"/>
        <v>{"type":"checkbox","class":"checkbox-big","name":"e9","title":"9. Водопад","style":"font-size:16px;display:block","state":"{{e9}}"},</v>
      </c>
      <c r="AG13" s="2" t="str">
        <f t="shared" ca="1" si="23"/>
        <v>{"type":"h4","title":"9. Водопад","style":"font-size:14px;width:85%;float:left"},{"type":"input","title":"папка","name":"e9","state":"{{e9}}","pattern":"[0-9]{1,2}","style":"background: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" s="2" t="str">
        <f t="shared" ca="1" si="24"/>
        <v>"9": "9.Водопад",</v>
      </c>
      <c r="AI13" s="16"/>
      <c r="AJ13" s="2" t="str">
        <f t="shared" ca="1" si="25"/>
        <v>9. Водопад,99,255,1,100,1;</v>
      </c>
      <c r="AK13" s="2" t="str">
        <f t="shared" ca="1" si="14"/>
        <v>9.Водопад</v>
      </c>
      <c r="AL13" s="29" t="s">
        <v>434</v>
      </c>
      <c r="AM13" s="2"/>
      <c r="AN13" s="17"/>
      <c r="AO13" s="2"/>
      <c r="AP13" s="2"/>
      <c r="AQ13" s="2"/>
      <c r="AR13" s="2"/>
      <c r="AS13" s="16"/>
      <c r="AT13" s="2"/>
      <c r="AU13" s="2"/>
      <c r="AV13" s="18"/>
      <c r="AW13" s="18"/>
      <c r="AX13" s="18"/>
      <c r="AY13" s="18"/>
      <c r="AZ13" s="18"/>
      <c r="BA13" s="18"/>
      <c r="BB13" s="18"/>
      <c r="BC13" s="18"/>
      <c r="BD13" s="18"/>
    </row>
    <row r="14" spans="1:56" ht="14.25" customHeight="1">
      <c r="A14" s="33">
        <f t="shared" ca="1" si="18"/>
        <v>10</v>
      </c>
      <c r="B14" s="38" t="s">
        <v>50</v>
      </c>
      <c r="C14" s="38" t="s">
        <v>51</v>
      </c>
      <c r="H14" s="38">
        <v>10</v>
      </c>
      <c r="I14" s="38">
        <v>195</v>
      </c>
      <c r="J14" s="38">
        <v>22</v>
      </c>
      <c r="L14" s="38">
        <v>99</v>
      </c>
      <c r="M14" s="38">
        <v>255</v>
      </c>
      <c r="N14" s="38">
        <v>1</v>
      </c>
      <c r="O14" s="38">
        <v>100</v>
      </c>
      <c r="P14" s="38">
        <v>0</v>
      </c>
      <c r="Q14" s="38" t="s">
        <v>39</v>
      </c>
      <c r="R14" s="38" t="s">
        <v>52</v>
      </c>
      <c r="S14" s="38">
        <v>7</v>
      </c>
      <c r="T14" s="38">
        <f t="shared" ca="1" si="17"/>
        <v>10</v>
      </c>
      <c r="U14" s="15"/>
      <c r="V14" s="2" t="str">
        <f t="shared" ca="1" si="26"/>
        <v>#define EFF_WATERFALL_4IN1      ( 10U)    // Водопад 4в1</v>
      </c>
      <c r="W14" s="2" t="str">
        <f t="shared" ca="1" si="27"/>
        <v>String("10. Водопад 4в1,99,255,1,100,0;") +</v>
      </c>
      <c r="X14" s="2" t="str">
        <f t="shared" ca="1" si="28"/>
        <v>String("10. ,99,255,1,100,0;") +</v>
      </c>
      <c r="Y14" s="2" t="str">
        <f t="shared" ca="1" si="29"/>
        <v>String("10. ,99,255,1,100,0;") +</v>
      </c>
      <c r="Z14" s="2" t="str">
        <f t="shared" ca="1" si="11"/>
        <v>10;10;195;22;Водопад 4в1</v>
      </c>
      <c r="AA14" s="2" t="str">
        <f t="shared" ca="1" si="19"/>
        <v xml:space="preserve">        case EFF_WATERFALL_4IN1:      DYNAMIC_DELAY_TICK { effTimer = millis(); fire2012WithPalette4in1();    Eff_Tick (); }  break;  // ( 10U) Водопад 4в1</v>
      </c>
      <c r="AC14" s="4" t="str">
        <f t="shared" ca="1" si="20"/>
        <v>"e10":0,</v>
      </c>
      <c r="AD14" s="4" t="str">
        <f t="shared" ca="1" si="21"/>
        <v>e10=[[e10]]&amp;</v>
      </c>
      <c r="AE14" s="4" t="str">
        <f t="shared" ca="1" si="22"/>
        <v>"e10":7,</v>
      </c>
      <c r="AF14" s="2" t="str">
        <f t="shared" ca="1" si="16"/>
        <v>{"type":"checkbox","class":"checkbox-big","name":"e10","title":"10. Водопад 4в1","style":"font-size:16px;display:block","state":"{{e10}}"},</v>
      </c>
      <c r="AG14" s="2" t="str">
        <f t="shared" ca="1" si="23"/>
        <v>{"type":"h4","title":"10. Водопад 4в1","style":"font-size:14px;width:85%;float:left"},{"type":"input","title":"папка","name":"e10","state":"{{e10}}","pattern":"[0-9]{1,2}","style":"background: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4" s="2" t="str">
        <f t="shared" ca="1" si="24"/>
        <v>"10": "10.Водопад 4в1",</v>
      </c>
      <c r="AI14" s="16"/>
      <c r="AJ14" s="2" t="str">
        <f t="shared" ca="1" si="25"/>
        <v>10. Водопад 4в1,99,255,1,100,0;</v>
      </c>
      <c r="AK14" s="2" t="str">
        <f t="shared" ca="1" si="14"/>
        <v>10.Водопад 4в1</v>
      </c>
      <c r="AL14" s="29" t="s">
        <v>434</v>
      </c>
      <c r="AM14" s="2"/>
      <c r="AN14" s="17"/>
      <c r="AO14" s="2"/>
      <c r="AP14" s="2"/>
      <c r="AQ14" s="2"/>
      <c r="AR14" s="2"/>
      <c r="AS14" s="16"/>
      <c r="AT14" s="2"/>
      <c r="AU14" s="2"/>
      <c r="AV14" s="18"/>
      <c r="AW14" s="18"/>
      <c r="AX14" s="18"/>
      <c r="AY14" s="18"/>
      <c r="AZ14" s="18"/>
      <c r="BA14" s="18"/>
      <c r="BB14" s="18"/>
      <c r="BC14" s="18"/>
      <c r="BD14" s="18"/>
    </row>
    <row r="15" spans="1:56" ht="14.25" customHeight="1">
      <c r="A15" s="33">
        <f t="shared" ca="1" si="18"/>
        <v>11</v>
      </c>
      <c r="B15" s="38" t="s">
        <v>53</v>
      </c>
      <c r="C15" s="38" t="s">
        <v>54</v>
      </c>
      <c r="H15" s="38">
        <v>20</v>
      </c>
      <c r="I15" s="38">
        <v>233</v>
      </c>
      <c r="J15" s="38">
        <v>80</v>
      </c>
      <c r="L15" s="38">
        <v>220</v>
      </c>
      <c r="M15" s="38">
        <v>255</v>
      </c>
      <c r="N15" s="38">
        <v>1</v>
      </c>
      <c r="O15" s="38">
        <v>100</v>
      </c>
      <c r="P15" s="38">
        <v>0</v>
      </c>
      <c r="Q15" s="38" t="s">
        <v>39</v>
      </c>
      <c r="R15" s="38" t="s">
        <v>55</v>
      </c>
      <c r="S15" s="38">
        <v>9</v>
      </c>
      <c r="T15" s="38">
        <f t="shared" ca="1" si="17"/>
        <v>11</v>
      </c>
      <c r="U15" s="15"/>
      <c r="V15" s="2" t="str">
        <f t="shared" ca="1" si="26"/>
        <v>#define EFF_WAVES               ( 11U)    // Волны</v>
      </c>
      <c r="W15" s="2" t="str">
        <f t="shared" ca="1" si="27"/>
        <v>String("11. Волны,220,255,1,100,0;") +</v>
      </c>
      <c r="X15" s="2" t="str">
        <f t="shared" ca="1" si="28"/>
        <v>String("11. ,220,255,1,100,0;") +</v>
      </c>
      <c r="Y15" s="2" t="str">
        <f t="shared" ca="1" si="29"/>
        <v>String("11. ,220,255,1,100,0;") +</v>
      </c>
      <c r="Z15" s="2" t="str">
        <f t="shared" ca="1" si="11"/>
        <v>11;20;233;80;Волны</v>
      </c>
      <c r="AA15" s="2" t="str">
        <f t="shared" ca="1" si="19"/>
        <v xml:space="preserve">        case EFF_WAVES:               DYNAMIC_DELAY_TICK { effTimer = millis(); WaveRoutine();                Eff_Tick (); }  break;  // ( 11U) Волны</v>
      </c>
      <c r="AB15" s="2" t="str">
        <f t="shared" ref="AB15:AB19" ca="1" si="30">CONCATENATE("{""name"":""",A15,". ",C15,""",""spmin"":",L15,",""spmax"":",M15,",""scmin"":",N15,",""scmax"":",O15,",""type"":",P15,"},")</f>
        <v>{"name":"11. Волны","spmin":220,"spmax":255,"scmin":1,"scmax":100,"type":0},</v>
      </c>
      <c r="AC15" s="4" t="str">
        <f t="shared" ca="1" si="20"/>
        <v>"e11":0,</v>
      </c>
      <c r="AD15" s="4" t="str">
        <f t="shared" ca="1" si="21"/>
        <v>e11=[[e11]]&amp;</v>
      </c>
      <c r="AE15" s="4" t="str">
        <f t="shared" ca="1" si="22"/>
        <v>"e11":9,</v>
      </c>
      <c r="AF15" s="2" t="str">
        <f t="shared" ca="1" si="16"/>
        <v>{"type":"checkbox","class":"checkbox-big","name":"e11","title":"11. Волны","style":"font-size:16px;display:block","state":"{{e11}}"},</v>
      </c>
      <c r="AG15" s="2" t="str">
        <f t="shared" ca="1" si="23"/>
        <v>{"type":"h4","title":"11. Волны","style":"font-size:14px;width:85%;float:left"},{"type":"input","title":"папка","name":"e11","state":"{{e11}}","pattern":"[0-9]{1,2}","style":"background: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5" s="2" t="str">
        <f t="shared" ca="1" si="24"/>
        <v>"11": "11.Волны",</v>
      </c>
      <c r="AI15" s="16"/>
      <c r="AJ15" s="2" t="str">
        <f t="shared" ca="1" si="25"/>
        <v>11. Волны,220,255,1,100,0;</v>
      </c>
      <c r="AK15" s="2" t="str">
        <f t="shared" ca="1" si="14"/>
        <v>11.Волны</v>
      </c>
      <c r="AL15" s="29" t="s">
        <v>434</v>
      </c>
      <c r="AM15" s="2"/>
      <c r="AN15" s="17"/>
      <c r="AO15" s="2"/>
      <c r="AP15" s="2"/>
      <c r="AQ15" s="2"/>
      <c r="AR15" s="2"/>
      <c r="AS15" s="16"/>
      <c r="AT15" s="2"/>
      <c r="AU15" s="2"/>
      <c r="AV15" s="18"/>
      <c r="AW15" s="18"/>
      <c r="AX15" s="18"/>
      <c r="AY15" s="18"/>
      <c r="AZ15" s="18"/>
      <c r="BA15" s="18"/>
      <c r="BB15" s="18"/>
      <c r="BC15" s="18"/>
      <c r="BD15" s="18"/>
    </row>
    <row r="16" spans="1:56">
      <c r="A16" s="33">
        <f t="shared" ca="1" si="18"/>
        <v>12</v>
      </c>
      <c r="B16" s="38" t="s">
        <v>56</v>
      </c>
      <c r="C16" s="38" t="s">
        <v>57</v>
      </c>
      <c r="H16" s="38">
        <v>22</v>
      </c>
      <c r="I16" s="38">
        <v>175</v>
      </c>
      <c r="J16" s="38">
        <v>60</v>
      </c>
      <c r="L16" s="38">
        <v>1</v>
      </c>
      <c r="M16" s="38">
        <v>128</v>
      </c>
      <c r="N16" s="38">
        <v>1</v>
      </c>
      <c r="O16" s="38">
        <v>100</v>
      </c>
      <c r="P16" s="38">
        <v>1</v>
      </c>
      <c r="Q16" s="38" t="s">
        <v>39</v>
      </c>
      <c r="R16" s="38" t="s">
        <v>58</v>
      </c>
      <c r="S16" s="38">
        <v>2</v>
      </c>
      <c r="T16" s="38">
        <f t="shared" ca="1" si="17"/>
        <v>12</v>
      </c>
      <c r="V16" s="2" t="str">
        <f t="shared" ca="1" si="26"/>
        <v>#define EFF_MAGICLANTERN        ( 12U)    // Волшебный Фонарик</v>
      </c>
      <c r="W16" s="2" t="str">
        <f t="shared" ca="1" si="27"/>
        <v>String("12. Волшебный Фонарик,1,128,1,100,1;") +</v>
      </c>
      <c r="X16" s="2" t="str">
        <f t="shared" ca="1" si="28"/>
        <v>String("12. ,1,128,1,100,1;") +</v>
      </c>
      <c r="Y16" s="2" t="str">
        <f t="shared" ca="1" si="29"/>
        <v>String("12. ,1,128,1,100,1;") +</v>
      </c>
      <c r="Z16" s="2" t="str">
        <f t="shared" ca="1" si="11"/>
        <v>12;22;175;60;Волшебный Фонарик</v>
      </c>
      <c r="AA16" s="2" t="str">
        <f t="shared" ca="1" si="19"/>
        <v xml:space="preserve">        case EFF_MAGICLANTERN:        DYNAMIC_DELAY_TICK { effTimer = millis(); MagicLantern();               Eff_Tick (); }  break;  // ( 12U) Волшебный Фонарик</v>
      </c>
      <c r="AB16" s="2" t="str">
        <f t="shared" ca="1" si="30"/>
        <v>{"name":"12. Волшебный Фонарик","spmin":1,"spmax":128,"scmin":1,"scmax":100,"type":1},</v>
      </c>
      <c r="AC16" s="4" t="str">
        <f t="shared" ca="1" si="20"/>
        <v>"e12":0,</v>
      </c>
      <c r="AD16" s="4" t="str">
        <f t="shared" ca="1" si="21"/>
        <v>e12=[[e12]]&amp;</v>
      </c>
      <c r="AE16" s="4" t="str">
        <f t="shared" ca="1" si="22"/>
        <v>"e12":2,</v>
      </c>
      <c r="AF16" s="2" t="str">
        <f t="shared" ca="1" si="16"/>
        <v>{"type":"checkbox","class":"checkbox-big","name":"e12","title":"12. Волшебный Фонарик","style":"font-size:16px;display:block","state":"{{e12}}"},</v>
      </c>
      <c r="AG16" s="2" t="str">
        <f t="shared" ca="1" si="23"/>
        <v>{"type":"h4","title":"12. Волшебный Фонарик","style":"font-size:14px;width:85%;float:left"},{"type":"input","title":"папка","name":"e12","state":"{{e12}}","pattern":"[0-9]{1,2}","style":"background: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6" s="2" t="str">
        <f t="shared" ca="1" si="24"/>
        <v>"12": "12.Волшебный Фонарик",</v>
      </c>
      <c r="AI16" s="16"/>
      <c r="AJ16" s="2" t="str">
        <f t="shared" ca="1" si="25"/>
        <v>12. Волшебный Фонарик,1,128,1,100,1;</v>
      </c>
      <c r="AK16" s="2" t="str">
        <f t="shared" ca="1" si="14"/>
        <v>12.Волшебный Фонарик</v>
      </c>
      <c r="AL16" s="29" t="s">
        <v>434</v>
      </c>
    </row>
    <row r="17" spans="1:56" ht="14.25" customHeight="1">
      <c r="A17" s="33">
        <f t="shared" ca="1" si="18"/>
        <v>13</v>
      </c>
      <c r="B17" s="38" t="s">
        <v>59</v>
      </c>
      <c r="C17" s="38" t="s">
        <v>60</v>
      </c>
      <c r="H17" s="38">
        <v>40</v>
      </c>
      <c r="I17" s="38">
        <v>205</v>
      </c>
      <c r="J17" s="38">
        <v>40</v>
      </c>
      <c r="L17" s="38">
        <v>200</v>
      </c>
      <c r="M17" s="38">
        <v>255</v>
      </c>
      <c r="N17" s="38">
        <v>40</v>
      </c>
      <c r="O17" s="38">
        <v>75</v>
      </c>
      <c r="P17" s="38">
        <v>0</v>
      </c>
      <c r="Q17" s="38" t="s">
        <v>39</v>
      </c>
      <c r="R17" s="38" t="s">
        <v>61</v>
      </c>
      <c r="S17" s="38">
        <v>2</v>
      </c>
      <c r="T17" s="38">
        <f t="shared" ref="T17:T19" ca="1" si="31">MAX(OFFSET(T17,-4,0,4,1))+1</f>
        <v>13</v>
      </c>
      <c r="U17" s="15"/>
      <c r="V17" s="2" t="str">
        <f t="shared" ca="1" si="26"/>
        <v>#define EFF_WINE                ( 13U)    // Вино</v>
      </c>
      <c r="W17" s="2" t="str">
        <f t="shared" ca="1" si="27"/>
        <v>String("13. Вино,200,255,40,75,0;") +</v>
      </c>
      <c r="X17" s="2" t="str">
        <f t="shared" ca="1" si="28"/>
        <v>String("13. ,200,255,40,75,0;") +</v>
      </c>
      <c r="Y17" s="2" t="str">
        <f t="shared" ca="1" si="29"/>
        <v>String("13. ,200,255,40,75,0;") +</v>
      </c>
      <c r="Z17" s="2" t="str">
        <f t="shared" ca="1" si="11"/>
        <v>13;40;205;40;Вино</v>
      </c>
      <c r="AA17" s="2" t="str">
        <f t="shared" ca="1" si="19"/>
        <v xml:space="preserve">        case EFF_WINE:                DYNAMIC_DELAY_TICK { effTimer = millis(); colorsWine();                 Eff_Tick (); }  break;  // ( 13U) Вино</v>
      </c>
      <c r="AB17" s="2" t="str">
        <f t="shared" ca="1" si="30"/>
        <v>{"name":"13. Вино","spmin":200,"spmax":255,"scmin":40,"scmax":75,"type":0},</v>
      </c>
      <c r="AC17" s="4" t="str">
        <f t="shared" ca="1" si="20"/>
        <v>"e13":0,</v>
      </c>
      <c r="AD17" s="4" t="str">
        <f t="shared" ca="1" si="21"/>
        <v>e13=[[e13]]&amp;</v>
      </c>
      <c r="AE17" s="4" t="str">
        <f t="shared" ca="1" si="22"/>
        <v>"e13":2,</v>
      </c>
      <c r="AF17" s="2" t="str">
        <f t="shared" ca="1" si="16"/>
        <v>{"type":"checkbox","class":"checkbox-big","name":"e13","title":"13. Вино","style":"font-size:16px;display:block","state":"{{e13}}"},</v>
      </c>
      <c r="AG17" s="2" t="str">
        <f t="shared" ca="1" si="23"/>
        <v>{"type":"h4","title":"13. Вино","style":"font-size:14px;width:85%;float:left"},{"type":"input","title":"папка","name":"e13","state":"{{e13}}","pattern":"[0-9]{1,2}","style":"background: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7" s="2" t="str">
        <f t="shared" ca="1" si="24"/>
        <v>"13": "13.Вино",</v>
      </c>
      <c r="AI17" s="16"/>
      <c r="AJ17" s="2" t="str">
        <f t="shared" ca="1" si="25"/>
        <v>13. Вино,200,255,40,75,0;</v>
      </c>
      <c r="AK17" s="2" t="str">
        <f t="shared" ca="1" si="14"/>
        <v>13.Вино</v>
      </c>
      <c r="AL17" s="29" t="s">
        <v>434</v>
      </c>
      <c r="AM17" s="2"/>
      <c r="AN17" s="17"/>
      <c r="AO17" s="2"/>
      <c r="AP17" s="2"/>
      <c r="AQ17" s="2"/>
      <c r="AR17" s="2"/>
      <c r="AS17" s="16"/>
      <c r="AT17" s="2"/>
      <c r="AU17" s="2"/>
      <c r="AV17" s="18"/>
      <c r="AW17" s="18"/>
      <c r="AX17" s="18"/>
      <c r="AY17" s="18"/>
      <c r="AZ17" s="18"/>
      <c r="BA17" s="18"/>
      <c r="BB17" s="18"/>
      <c r="BC17" s="18"/>
      <c r="BD17" s="18"/>
    </row>
    <row r="18" spans="1:56" ht="14.25" customHeight="1">
      <c r="A18" s="33">
        <f t="shared" ca="1" si="18"/>
        <v>14</v>
      </c>
      <c r="B18" s="38" t="s">
        <v>62</v>
      </c>
      <c r="C18" s="38" t="s">
        <v>63</v>
      </c>
      <c r="H18" s="38">
        <v>12</v>
      </c>
      <c r="I18" s="38">
        <v>210</v>
      </c>
      <c r="J18" s="38">
        <v>1</v>
      </c>
      <c r="L18" s="38">
        <v>1</v>
      </c>
      <c r="M18" s="38">
        <v>255</v>
      </c>
      <c r="N18" s="38">
        <v>1</v>
      </c>
      <c r="O18" s="38">
        <v>100</v>
      </c>
      <c r="P18" s="38">
        <v>1</v>
      </c>
      <c r="Q18" s="38" t="s">
        <v>39</v>
      </c>
      <c r="R18" s="38" t="s">
        <v>64</v>
      </c>
      <c r="S18" s="38">
        <v>3</v>
      </c>
      <c r="T18" s="38">
        <f t="shared" ca="1" si="31"/>
        <v>14</v>
      </c>
      <c r="U18" s="15"/>
      <c r="V18" s="2" t="str">
        <f t="shared" ca="1" si="26"/>
        <v>#define EFF_WHIRL               ( 14U)    // Вихри пламени</v>
      </c>
      <c r="W18" s="2" t="str">
        <f t="shared" ca="1" si="27"/>
        <v>String("14. Вихри пламени,1,255,1,100,1;") +</v>
      </c>
      <c r="X18" s="2" t="str">
        <f t="shared" ca="1" si="28"/>
        <v>String("14. ,1,255,1,100,1;") +</v>
      </c>
      <c r="Y18" s="2" t="str">
        <f t="shared" ca="1" si="29"/>
        <v>String("14. ,1,255,1,100,1;") +</v>
      </c>
      <c r="Z18" s="2" t="str">
        <f t="shared" ca="1" si="11"/>
        <v>14;12;210;1;Вихри пламени</v>
      </c>
      <c r="AA18" s="2" t="str">
        <f t="shared" ca="1" si="19"/>
        <v xml:space="preserve">        case EFF_WHIRL:               DYNAMIC_DELAY_TICK { effTimer = millis(); whirlRoutine(true);           Eff_Tick (); }  break;  // ( 14U) Вихри пламени</v>
      </c>
      <c r="AB18" s="2" t="str">
        <f t="shared" ca="1" si="30"/>
        <v>{"name":"14. Вихри пламени","spmin":1,"spmax":255,"scmin":1,"scmax":100,"type":1},</v>
      </c>
      <c r="AC18" s="4" t="str">
        <f t="shared" ca="1" si="20"/>
        <v>"e14":0,</v>
      </c>
      <c r="AD18" s="4" t="str">
        <f t="shared" ca="1" si="21"/>
        <v>e14=[[e14]]&amp;</v>
      </c>
      <c r="AE18" s="4" t="str">
        <f t="shared" ca="1" si="22"/>
        <v>"e14":3,</v>
      </c>
      <c r="AF18" s="2" t="str">
        <f t="shared" ca="1" si="16"/>
        <v>{"type":"checkbox","class":"checkbox-big","name":"e14","title":"14. Вихри пламени","style":"font-size:16px;display:block","state":"{{e14}}"},</v>
      </c>
      <c r="AG18" s="2" t="str">
        <f t="shared" ca="1" si="23"/>
        <v>{"type":"h4","title":"14. Вихри пламени","style":"font-size:14px;width:85%;float:left"},{"type":"input","title":"папка","name":"e14","state":"{{e14}}","pattern":"[0-9]{1,2}","style":"background: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8" s="2" t="str">
        <f t="shared" ca="1" si="24"/>
        <v>"14": "14.Вихри пламени",</v>
      </c>
      <c r="AI18" s="16"/>
      <c r="AJ18" s="2" t="str">
        <f t="shared" ca="1" si="25"/>
        <v>14. Вихри пламени,1,255,1,100,1;</v>
      </c>
      <c r="AK18" s="2" t="str">
        <f t="shared" ca="1" si="14"/>
        <v>14.Вихри пламени</v>
      </c>
      <c r="AL18" s="29" t="s">
        <v>434</v>
      </c>
      <c r="AM18" s="2"/>
      <c r="AN18" s="17"/>
      <c r="AO18" s="2"/>
      <c r="AP18" s="2"/>
      <c r="AQ18" s="2"/>
      <c r="AR18" s="2"/>
      <c r="AS18" s="16"/>
      <c r="AT18" s="2"/>
      <c r="AU18" s="2"/>
      <c r="AV18" s="18"/>
      <c r="AW18" s="18"/>
      <c r="AX18" s="18"/>
      <c r="AY18" s="18"/>
      <c r="AZ18" s="18"/>
      <c r="BA18" s="18"/>
      <c r="BB18" s="18"/>
      <c r="BC18" s="18"/>
      <c r="BD18" s="18"/>
    </row>
    <row r="19" spans="1:56" ht="14.25" customHeight="1">
      <c r="A19" s="33">
        <f t="shared" ca="1" si="18"/>
        <v>15</v>
      </c>
      <c r="B19" s="38" t="s">
        <v>65</v>
      </c>
      <c r="C19" s="38" t="s">
        <v>66</v>
      </c>
      <c r="H19" s="38">
        <v>10</v>
      </c>
      <c r="I19" s="38">
        <v>210</v>
      </c>
      <c r="J19" s="38">
        <v>86</v>
      </c>
      <c r="L19" s="38">
        <v>1</v>
      </c>
      <c r="M19" s="38">
        <v>255</v>
      </c>
      <c r="N19" s="38">
        <v>1</v>
      </c>
      <c r="O19" s="38">
        <v>100</v>
      </c>
      <c r="P19" s="38">
        <v>0</v>
      </c>
      <c r="Q19" s="38" t="s">
        <v>39</v>
      </c>
      <c r="R19" s="38" t="s">
        <v>67</v>
      </c>
      <c r="S19" s="38">
        <v>3</v>
      </c>
      <c r="T19" s="38">
        <f t="shared" ca="1" si="31"/>
        <v>15</v>
      </c>
      <c r="U19" s="15"/>
      <c r="V19" s="2" t="str">
        <f t="shared" ca="1" si="26"/>
        <v>#define EFF_WHIRL_MULTI         ( 15U)    // Вихри разноцветные</v>
      </c>
      <c r="W19" s="2" t="str">
        <f t="shared" ca="1" si="27"/>
        <v>String("15. Вихри разноцветные,1,255,1,100,0;") +</v>
      </c>
      <c r="X19" s="2" t="str">
        <f t="shared" ca="1" si="28"/>
        <v>String("15. ,1,255,1,100,0;") +</v>
      </c>
      <c r="Y19" s="2" t="str">
        <f t="shared" ca="1" si="29"/>
        <v>String("15. ,1,255,1,100,0;") +</v>
      </c>
      <c r="Z19" s="2" t="str">
        <f t="shared" ca="1" si="11"/>
        <v>15;10;210;86;Вихри разноцветные</v>
      </c>
      <c r="AA19" s="2" t="str">
        <f t="shared" ca="1" si="19"/>
        <v xml:space="preserve">        case EFF_WHIRL_MULTI:         DYNAMIC_DELAY_TICK { effTimer = millis(); whirlRoutine(false);          Eff_Tick (); }  break;  // ( 15U) Вихри разноцветные</v>
      </c>
      <c r="AB19" s="2" t="str">
        <f t="shared" ca="1" si="30"/>
        <v>{"name":"15. Вихри разноцветные","spmin":1,"spmax":255,"scmin":1,"scmax":100,"type":0},</v>
      </c>
      <c r="AC19" s="4" t="str">
        <f t="shared" ca="1" si="20"/>
        <v>"e15":0,</v>
      </c>
      <c r="AD19" s="4" t="str">
        <f t="shared" ca="1" si="21"/>
        <v>e15=[[e15]]&amp;</v>
      </c>
      <c r="AE19" s="4" t="str">
        <f t="shared" ca="1" si="22"/>
        <v>"e15":3,</v>
      </c>
      <c r="AF19" s="2" t="str">
        <f t="shared" ca="1" si="16"/>
        <v>{"type":"checkbox","class":"checkbox-big","name":"e15","title":"15. Вихри разноцветные","style":"font-size:16px;display:block","state":"{{e15}}"},</v>
      </c>
      <c r="AG19" s="2" t="str">
        <f t="shared" ca="1" si="23"/>
        <v>{"type":"h4","title":"15. Вихри разноцветные","style":"font-size:14px;width:85%;float:left"},{"type":"input","title":"папка","name":"e15","state":"{{e15}}","pattern":"[0-9]{1,2}","style":"background: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9" s="2" t="str">
        <f t="shared" ca="1" si="24"/>
        <v>"15": "15.Вихри разноцветные",</v>
      </c>
      <c r="AI19" s="16"/>
      <c r="AJ19" s="2" t="str">
        <f t="shared" ca="1" si="25"/>
        <v>15. Вихри разноцветные,1,255,1,100,0;</v>
      </c>
      <c r="AK19" s="2" t="str">
        <f t="shared" ca="1" si="14"/>
        <v>15.Вихри разноцветные</v>
      </c>
      <c r="AL19" s="29" t="s">
        <v>434</v>
      </c>
      <c r="AM19" s="2"/>
      <c r="AN19" s="17"/>
      <c r="AO19" s="2"/>
      <c r="AP19" s="2"/>
      <c r="AQ19" s="2"/>
      <c r="AR19" s="2"/>
      <c r="AS19" s="16"/>
      <c r="AT19" s="2"/>
      <c r="AU19" s="2"/>
      <c r="AV19" s="18"/>
      <c r="AW19" s="18"/>
      <c r="AX19" s="18"/>
      <c r="AY19" s="18"/>
      <c r="AZ19" s="18"/>
      <c r="BA19" s="18"/>
      <c r="BB19" s="18"/>
      <c r="BC19" s="18"/>
      <c r="BD19" s="18"/>
    </row>
    <row r="20" spans="1:56" ht="14.25" customHeight="1">
      <c r="A20" s="33">
        <f t="shared" ref="A20:A30" ca="1" si="32">MAX(OFFSET(A20,-4,0,4,1))+1</f>
        <v>16</v>
      </c>
      <c r="B20" s="38" t="s">
        <v>68</v>
      </c>
      <c r="C20" s="38" t="s">
        <v>69</v>
      </c>
      <c r="H20" s="38">
        <v>27</v>
      </c>
      <c r="I20" s="38">
        <v>191</v>
      </c>
      <c r="J20" s="38">
        <v>54</v>
      </c>
      <c r="L20" s="38">
        <v>99</v>
      </c>
      <c r="M20" s="38">
        <v>255</v>
      </c>
      <c r="N20" s="38">
        <v>1</v>
      </c>
      <c r="O20" s="38">
        <v>100</v>
      </c>
      <c r="P20" s="38">
        <v>0</v>
      </c>
      <c r="Q20" s="38" t="s">
        <v>39</v>
      </c>
      <c r="R20" s="38" t="s">
        <v>70</v>
      </c>
      <c r="S20" s="38">
        <v>6</v>
      </c>
      <c r="T20" s="38">
        <f t="shared" ref="T20:T30" ca="1" si="33">MAX(OFFSET(T20,-4,0,4,1))+1</f>
        <v>16</v>
      </c>
      <c r="U20" s="15"/>
      <c r="V20" s="2" t="str">
        <f t="shared" ref="V20:V30" ca="1" si="34">CONCATENATE("#define EFF_",B20,REPT(" ",20-LEN(B20)),"(",REPT(" ",3-LEN(T20)),T20,"U)    // ",C20)</f>
        <v>#define EFF_STARFALL            ( 16U)    // Вьюга</v>
      </c>
      <c r="W20" s="2" t="str">
        <f t="shared" ref="W20:W28" ca="1" si="35">CONCATENATE("String(""",A20,". ",C20,",",L20,",",M20,",",N20,",",O20,",",P20,";"") +")</f>
        <v>String("16. Вьюга,99,255,1,100,0;") +</v>
      </c>
      <c r="X20" s="2" t="str">
        <f t="shared" ref="X20:X28" ca="1" si="36">CONCATENATE("String(""",A20,". ",D20,",",L20,",",M20,",",N20,",",O20,",",P20,";"") +")</f>
        <v>String("16. ,99,255,1,100,0;") +</v>
      </c>
      <c r="Y20" s="2" t="str">
        <f t="shared" ref="Y20:Y28" ca="1" si="37">CONCATENATE("String(""",A20,". ",E20,",",L20,",",M20,",",N20,",",O20,",",P20,";"") +")</f>
        <v>String("16. ,99,255,1,100,0;") +</v>
      </c>
      <c r="Z20" s="2" t="str">
        <f t="shared" ca="1" si="11"/>
        <v>16;27;191;54;Вьюга</v>
      </c>
      <c r="AA20" s="2" t="str">
        <f t="shared" ref="AA20:AA26" ca="1" si="38">CONCATENATE("        case EFF_",B20,":",REPT(" ",20-LEN(B20)),Q20," { effTimer = millis(); ",R20,REPT(" ",30-LEN(R20)),"Eff_Tick (); }","  break;  // (",REPT(" ",3-LEN(T20)),T20,"U) ",C20)</f>
        <v xml:space="preserve">        case EFF_STARFALL:            DYNAMIC_DELAY_TICK { effTimer = millis(); stormRoutine2();              Eff_Tick (); }  break;  // ( 16U) Вьюга</v>
      </c>
      <c r="AB20" s="2" t="str">
        <f ca="1">CONCATENATE("{""name"":""",A20,". ",C20,""",""spmin"":",L20,",""spmax"":",M20,",""scmin"":",N20,",""scmax"":",O20,",""type"":",P20,"},")</f>
        <v>{"name":"16. Вьюга","spmin":99,"spmax":255,"scmin":1,"scmax":100,"type":0},</v>
      </c>
      <c r="AC20" s="4" t="str">
        <f t="shared" ref="AC20:AC30" ca="1" si="39">CONCATENATE("""","e",T20,"""",":0,")</f>
        <v>"e16":0,</v>
      </c>
      <c r="AD20" s="4" t="str">
        <f t="shared" ref="AD20:AD29" ca="1" si="40">CONCATENATE("e",T20,"=[[e",T20,"]]&amp;")</f>
        <v>e16=[[e16]]&amp;</v>
      </c>
      <c r="AE20" s="4" t="str">
        <f t="shared" ref="AE20:AE30" ca="1" si="41">CONCATENATE("""","e",T20,"""",":",S20,",")</f>
        <v>"e16":6,</v>
      </c>
      <c r="AF20" s="2" t="str">
        <f t="shared" ca="1" si="16"/>
        <v>{"type":"checkbox","class":"checkbox-big","name":"e16","title":"16. Вьюга","style":"font-size:16px;display:block","state":"{{e16}}"},</v>
      </c>
      <c r="AG20" s="2" t="str">
        <f t="shared" ca="1" si="23"/>
        <v>{"type":"h4","title":"16. Вьюга","style":"font-size:14px;width:85%;float:left"},{"type":"input","title":"папка","name":"e16","state":"{{e16}}","pattern":"[0-9]{1,2}","style":"background: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0" s="2" t="str">
        <f t="shared" ref="AH20:AH30" ca="1" si="42">CONCATENATE("""",A20,"""",": """,A20,".",C20,""",")</f>
        <v>"16": "16.Вьюга",</v>
      </c>
      <c r="AI20" s="16"/>
      <c r="AJ20" s="2" t="str">
        <f t="shared" ref="AJ20:AJ30" ca="1" si="43">CONCATENATE(A20,". ",C20,",",L20,",",M20,",",N20,",",O20,",",P20,";")</f>
        <v>16. Вьюга,99,255,1,100,0;</v>
      </c>
      <c r="AK20" s="2" t="str">
        <f t="shared" ca="1" si="14"/>
        <v>16.Вьюга</v>
      </c>
      <c r="AL20" s="29" t="s">
        <v>434</v>
      </c>
      <c r="AM20" s="2"/>
      <c r="AN20" s="17"/>
      <c r="AO20" s="2"/>
      <c r="AP20" s="2"/>
      <c r="AQ20" s="2"/>
      <c r="AR20" s="2"/>
      <c r="AS20" s="16"/>
      <c r="AT20" s="2"/>
      <c r="AU20" s="2"/>
      <c r="AV20" s="18"/>
      <c r="AW20" s="18"/>
      <c r="AX20" s="18"/>
      <c r="AY20" s="18"/>
      <c r="AZ20" s="18"/>
      <c r="BA20" s="18"/>
      <c r="BB20" s="18"/>
      <c r="BC20" s="18"/>
      <c r="BD20" s="18"/>
    </row>
    <row r="21" spans="1:56" ht="14.25" customHeight="1">
      <c r="A21" s="33">
        <f t="shared" ca="1" si="32"/>
        <v>17</v>
      </c>
      <c r="B21" s="38" t="s">
        <v>71</v>
      </c>
      <c r="C21" s="38" t="s">
        <v>72</v>
      </c>
      <c r="H21" s="38">
        <v>20</v>
      </c>
      <c r="I21" s="38">
        <v>210</v>
      </c>
      <c r="J21" s="38">
        <v>8</v>
      </c>
      <c r="L21" s="38">
        <v>99</v>
      </c>
      <c r="M21" s="38">
        <v>255</v>
      </c>
      <c r="N21" s="38">
        <v>1</v>
      </c>
      <c r="O21" s="38">
        <v>100</v>
      </c>
      <c r="P21" s="38">
        <v>0</v>
      </c>
      <c r="Q21" s="38" t="s">
        <v>39</v>
      </c>
      <c r="R21" s="38" t="s">
        <v>73</v>
      </c>
      <c r="S21" s="38">
        <v>12</v>
      </c>
      <c r="T21" s="38">
        <f t="shared" ca="1" si="33"/>
        <v>17</v>
      </c>
      <c r="U21" s="15"/>
      <c r="V21" s="2" t="str">
        <f t="shared" ca="1" si="34"/>
        <v>#define EFF_STORMY_RAIN         ( 17U)    // Гроза в банке</v>
      </c>
      <c r="W21" s="2" t="str">
        <f t="shared" ca="1" si="35"/>
        <v>String("17. Гроза в банке,99,255,1,100,0;") +</v>
      </c>
      <c r="X21" s="2" t="str">
        <f t="shared" ca="1" si="36"/>
        <v>String("17. ,99,255,1,100,0;") +</v>
      </c>
      <c r="Y21" s="2" t="str">
        <f t="shared" ca="1" si="37"/>
        <v>String("17. ,99,255,1,100,0;") +</v>
      </c>
      <c r="Z21" s="2" t="str">
        <f t="shared" ca="1" si="11"/>
        <v>17;20;210;8;Гроза в банке</v>
      </c>
      <c r="AA21" s="2" t="str">
        <f t="shared" ca="1" si="38"/>
        <v xml:space="preserve">        case EFF_STORMY_RAIN:         DYNAMIC_DELAY_TICK { effTimer = millis(); stormyRain();                 Eff_Tick (); }  break;  // ( 17U) Гроза в банке</v>
      </c>
      <c r="AB21" s="2" t="str">
        <f ca="1">CONCATENATE("{""name"":""",A21,". ",C21,""",""spmin"":",L21,",""spmax"":",M21,",""scmin"":",N21,",""scmax"":",O21,",""type"":",P21,"},")</f>
        <v>{"name":"17. Гроза в банке","spmin":99,"spmax":255,"scmin":1,"scmax":100,"type":0},</v>
      </c>
      <c r="AC21" s="4" t="str">
        <f t="shared" ca="1" si="39"/>
        <v>"e17":0,</v>
      </c>
      <c r="AD21" s="4" t="str">
        <f t="shared" ca="1" si="40"/>
        <v>e17=[[e17]]&amp;</v>
      </c>
      <c r="AE21" s="4" t="str">
        <f t="shared" ca="1" si="41"/>
        <v>"e17":12,</v>
      </c>
      <c r="AF21" s="2" t="str">
        <f t="shared" ca="1" si="16"/>
        <v>{"type":"checkbox","class":"checkbox-big","name":"e17","title":"17. Гроза в банке","style":"font-size:16px;display:block","state":"{{e17}}"},</v>
      </c>
      <c r="AG21" s="2" t="str">
        <f t="shared" ca="1" si="23"/>
        <v>{"type":"h4","title":"17. Гроза в банке","style":"font-size:14px;width:85%;float:left"},{"type":"input","title":"папка","name":"e17","state":"{{e17}}","pattern":"[0-9]{1,2}","style":"background: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1" s="2" t="str">
        <f t="shared" ca="1" si="42"/>
        <v>"17": "17.Гроза в банке",</v>
      </c>
      <c r="AI21" s="16"/>
      <c r="AJ21" s="2" t="str">
        <f t="shared" ca="1" si="43"/>
        <v>17. Гроза в банке,99,255,1,100,0;</v>
      </c>
      <c r="AK21" s="2" t="str">
        <f t="shared" ca="1" si="14"/>
        <v>17.Гроза в банке</v>
      </c>
      <c r="AL21" s="29" t="s">
        <v>434</v>
      </c>
      <c r="AM21" s="2"/>
      <c r="AN21" s="17"/>
      <c r="AO21" s="2"/>
      <c r="AP21" s="2"/>
      <c r="AQ21" s="2"/>
      <c r="AR21" s="2"/>
      <c r="AS21" s="16"/>
      <c r="AT21" s="2"/>
      <c r="AU21" s="2"/>
      <c r="AV21" s="18"/>
      <c r="AW21" s="18"/>
      <c r="AX21" s="18"/>
      <c r="AY21" s="18"/>
      <c r="AZ21" s="18"/>
      <c r="BA21" s="18"/>
      <c r="BB21" s="18"/>
      <c r="BC21" s="18"/>
      <c r="BD21" s="18"/>
    </row>
    <row r="22" spans="1:56" ht="14.25" customHeight="1">
      <c r="A22" s="33">
        <f t="shared" ca="1" si="32"/>
        <v>18</v>
      </c>
      <c r="B22" s="38" t="s">
        <v>74</v>
      </c>
      <c r="C22" s="38" t="s">
        <v>75</v>
      </c>
      <c r="H22" s="38">
        <v>15</v>
      </c>
      <c r="I22" s="38">
        <v>80</v>
      </c>
      <c r="J22" s="38">
        <v>95</v>
      </c>
      <c r="L22" s="38">
        <v>1</v>
      </c>
      <c r="M22" s="38">
        <v>255</v>
      </c>
      <c r="N22" s="38">
        <v>1</v>
      </c>
      <c r="O22" s="38">
        <v>100</v>
      </c>
      <c r="P22" s="38">
        <v>0</v>
      </c>
      <c r="Q22" s="38" t="s">
        <v>76</v>
      </c>
      <c r="R22" s="38" t="s">
        <v>77</v>
      </c>
      <c r="S22" s="38">
        <v>2</v>
      </c>
      <c r="T22" s="38">
        <f t="shared" ca="1" si="33"/>
        <v>18</v>
      </c>
      <c r="U22" s="15"/>
      <c r="V22" s="2" t="str">
        <f t="shared" ca="1" si="34"/>
        <v>#define EFF_DNA                 ( 18U)    // ДНК</v>
      </c>
      <c r="W22" s="2" t="str">
        <f t="shared" ca="1" si="35"/>
        <v>String("18. ДНК,1,255,1,100,0;") +</v>
      </c>
      <c r="X22" s="2" t="str">
        <f t="shared" ca="1" si="36"/>
        <v>String("18. ,1,255,1,100,0;") +</v>
      </c>
      <c r="Y22" s="2" t="str">
        <f t="shared" ca="1" si="37"/>
        <v>String("18. ,1,255,1,100,0;") +</v>
      </c>
      <c r="Z22" s="2" t="str">
        <f t="shared" ca="1" si="11"/>
        <v>18;15;80;95;ДНК</v>
      </c>
      <c r="AA22" s="2" t="str">
        <f t="shared" ca="1" si="38"/>
        <v xml:space="preserve">        case EFF_DNA:                 LOW_DELAY_TICK { effTimer = millis(); DNARoutine();                 Eff_Tick (); }  break;  // ( 18U) ДНК</v>
      </c>
      <c r="AC22" s="4" t="str">
        <f t="shared" ca="1" si="39"/>
        <v>"e18":0,</v>
      </c>
      <c r="AD22" s="4" t="str">
        <f t="shared" ca="1" si="40"/>
        <v>e18=[[e18]]&amp;</v>
      </c>
      <c r="AE22" s="4" t="str">
        <f t="shared" ca="1" si="41"/>
        <v>"e18":2,</v>
      </c>
      <c r="AF22" s="2" t="str">
        <f t="shared" ca="1" si="16"/>
        <v>{"type":"checkbox","class":"checkbox-big","name":"e18","title":"18. ДНК","style":"font-size:16px;display:block","state":"{{e18}}"},</v>
      </c>
      <c r="AG22" s="2" t="str">
        <f t="shared" ca="1" si="23"/>
        <v>{"type":"h4","title":"18. ДНК","style":"font-size:14px;width:85%;float:left"},{"type":"input","title":"папка","name":"e18","state":"{{e18}}","pattern":"[0-9]{1,2}","style":"background: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2" s="2" t="str">
        <f t="shared" ca="1" si="42"/>
        <v>"18": "18.ДНК",</v>
      </c>
      <c r="AI22" s="16"/>
      <c r="AJ22" s="2" t="str">
        <f t="shared" ca="1" si="43"/>
        <v>18. ДНК,1,255,1,100,0;</v>
      </c>
      <c r="AK22" s="2" t="str">
        <f t="shared" ca="1" si="14"/>
        <v>18.ДНК</v>
      </c>
      <c r="AL22" s="29" t="s">
        <v>434</v>
      </c>
      <c r="AM22" s="2"/>
      <c r="AN22" s="17"/>
      <c r="AO22" s="2"/>
      <c r="AP22" s="2"/>
      <c r="AQ22" s="2"/>
      <c r="AR22" s="2"/>
      <c r="AS22" s="16"/>
      <c r="AT22" s="2"/>
      <c r="AU22" s="2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56" ht="14.25" customHeight="1">
      <c r="A23" s="33">
        <f t="shared" ca="1" si="32"/>
        <v>19</v>
      </c>
      <c r="B23" s="38" t="s">
        <v>78</v>
      </c>
      <c r="C23" s="38" t="s">
        <v>79</v>
      </c>
      <c r="H23" s="38">
        <v>17</v>
      </c>
      <c r="I23" s="38">
        <v>195</v>
      </c>
      <c r="J23" s="38">
        <v>100</v>
      </c>
      <c r="L23" s="38">
        <v>99</v>
      </c>
      <c r="M23" s="38">
        <v>255</v>
      </c>
      <c r="N23" s="38">
        <v>1</v>
      </c>
      <c r="O23" s="38">
        <v>100</v>
      </c>
      <c r="P23" s="38">
        <v>0</v>
      </c>
      <c r="Q23" s="38" t="s">
        <v>39</v>
      </c>
      <c r="R23" s="38" t="s">
        <v>80</v>
      </c>
      <c r="S23" s="38">
        <v>2</v>
      </c>
      <c r="T23" s="38">
        <f t="shared" ca="1" si="33"/>
        <v>19</v>
      </c>
      <c r="U23" s="15"/>
      <c r="V23" s="2" t="str">
        <f t="shared" ca="1" si="34"/>
        <v>#define EFF_SMOKE               ( 19U)    // Дым</v>
      </c>
      <c r="W23" s="2" t="str">
        <f t="shared" ca="1" si="35"/>
        <v>String("19. Дым,99,255,1,100,0;") +</v>
      </c>
      <c r="X23" s="2" t="str">
        <f t="shared" ca="1" si="36"/>
        <v>String("19. ,99,255,1,100,0;") +</v>
      </c>
      <c r="Y23" s="2" t="str">
        <f t="shared" ca="1" si="37"/>
        <v>String("19. ,99,255,1,100,0;") +</v>
      </c>
      <c r="Z23" s="2" t="str">
        <f t="shared" ca="1" si="11"/>
        <v>19;17;195;100;Дым</v>
      </c>
      <c r="AA23" s="2" t="str">
        <f t="shared" ca="1" si="38"/>
        <v xml:space="preserve">        case EFF_SMOKE:               DYNAMIC_DELAY_TICK { effTimer = millis(); MultipleStreamSmoke(false);   Eff_Tick (); }  break;  // ( 19U) Дым</v>
      </c>
      <c r="AB23" s="2" t="str">
        <f t="shared" ref="AB23:AB28" ca="1" si="44">CONCATENATE("{""name"":""",A23,". ",C23,""",""spmin"":",L23,",""spmax"":",M23,",""scmin"":",N23,",""scmax"":",O23,",""type"":",P23,"},")</f>
        <v>{"name":"19. Дым","spmin":99,"spmax":255,"scmin":1,"scmax":100,"type":0},</v>
      </c>
      <c r="AC23" s="4" t="str">
        <f t="shared" ca="1" si="39"/>
        <v>"e19":0,</v>
      </c>
      <c r="AD23" s="4" t="str">
        <f t="shared" ca="1" si="40"/>
        <v>e19=[[e19]]&amp;</v>
      </c>
      <c r="AE23" s="4" t="str">
        <f t="shared" ca="1" si="41"/>
        <v>"e19":2,</v>
      </c>
      <c r="AF23" s="2" t="str">
        <f t="shared" ca="1" si="16"/>
        <v>{"type":"checkbox","class":"checkbox-big","name":"e19","title":"19. Дым","style":"font-size:16px;display:block","state":"{{e19}}"},</v>
      </c>
      <c r="AG23" s="2" t="str">
        <f t="shared" ca="1" si="23"/>
        <v>{"type":"h4","title":"19. Дым","style":"font-size:14px;width:85%;float:left"},{"type":"input","title":"папка","name":"e19","state":"{{e19}}","pattern":"[0-9]{1,2}","style":"background: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3" s="2" t="str">
        <f t="shared" ca="1" si="42"/>
        <v>"19": "19.Дым",</v>
      </c>
      <c r="AI23" s="16"/>
      <c r="AJ23" s="2" t="str">
        <f t="shared" ca="1" si="43"/>
        <v>19. Дым,99,255,1,100,0;</v>
      </c>
      <c r="AK23" s="2" t="str">
        <f t="shared" ca="1" si="14"/>
        <v>19.Дым</v>
      </c>
      <c r="AL23" s="29" t="s">
        <v>434</v>
      </c>
      <c r="AM23" s="2"/>
      <c r="AN23" s="17"/>
      <c r="AO23" s="2"/>
      <c r="AP23" s="2"/>
      <c r="AQ23" s="2"/>
      <c r="AR23" s="2"/>
      <c r="AS23" s="16"/>
      <c r="AT23" s="2"/>
      <c r="AU23" s="2"/>
      <c r="AV23" s="18"/>
      <c r="AW23" s="18"/>
      <c r="AX23" s="18"/>
      <c r="AY23" s="18"/>
      <c r="AZ23" s="18"/>
      <c r="BA23" s="18"/>
      <c r="BB23" s="18"/>
      <c r="BC23" s="18"/>
      <c r="BD23" s="18"/>
    </row>
    <row r="24" spans="1:56" ht="14.25" customHeight="1">
      <c r="A24" s="33">
        <f t="shared" ca="1" si="32"/>
        <v>20</v>
      </c>
      <c r="B24" s="38" t="s">
        <v>81</v>
      </c>
      <c r="C24" s="38" t="s">
        <v>82</v>
      </c>
      <c r="H24" s="38">
        <v>17</v>
      </c>
      <c r="I24" s="38">
        <v>190</v>
      </c>
      <c r="J24" s="38">
        <v>30</v>
      </c>
      <c r="L24" s="38">
        <v>1</v>
      </c>
      <c r="M24" s="38">
        <v>255</v>
      </c>
      <c r="N24" s="38">
        <v>1</v>
      </c>
      <c r="O24" s="38">
        <v>100</v>
      </c>
      <c r="P24" s="38">
        <v>0</v>
      </c>
      <c r="Q24" s="38" t="s">
        <v>39</v>
      </c>
      <c r="R24" s="38" t="s">
        <v>83</v>
      </c>
      <c r="S24" s="38">
        <v>2</v>
      </c>
      <c r="T24" s="38">
        <f t="shared" ca="1" si="33"/>
        <v>20</v>
      </c>
      <c r="U24" s="15"/>
      <c r="V24" s="2" t="str">
        <f t="shared" ca="1" si="34"/>
        <v>#define EFF_SMOKE_COLOR         ( 20U)    // Дым разноцветный</v>
      </c>
      <c r="W24" s="2" t="str">
        <f t="shared" ca="1" si="35"/>
        <v>String("20. Дым разноцветный,1,255,1,100,0;") +</v>
      </c>
      <c r="X24" s="2" t="str">
        <f t="shared" ca="1" si="36"/>
        <v>String("20. ,1,255,1,100,0;") +</v>
      </c>
      <c r="Y24" s="2" t="str">
        <f t="shared" ca="1" si="37"/>
        <v>String("20. ,1,255,1,100,0;") +</v>
      </c>
      <c r="Z24" s="2" t="str">
        <f t="shared" ca="1" si="11"/>
        <v>20;17;190;30;Дым разноцветный</v>
      </c>
      <c r="AA24" s="2" t="str">
        <f t="shared" ca="1" si="38"/>
        <v xml:space="preserve">        case EFF_SMOKE_COLOR:         DYNAMIC_DELAY_TICK { effTimer = millis(); MultipleStreamSmoke(true);    Eff_Tick (); }  break;  // ( 20U) Дым разноцветный</v>
      </c>
      <c r="AB24" s="2" t="str">
        <f t="shared" ca="1" si="44"/>
        <v>{"name":"20. Дым разноцветный","spmin":1,"spmax":255,"scmin":1,"scmax":100,"type":0},</v>
      </c>
      <c r="AC24" s="4" t="str">
        <f t="shared" ca="1" si="39"/>
        <v>"e20":0,</v>
      </c>
      <c r="AD24" s="4" t="str">
        <f t="shared" ca="1" si="40"/>
        <v>e20=[[e20]]&amp;</v>
      </c>
      <c r="AE24" s="4" t="str">
        <f t="shared" ca="1" si="41"/>
        <v>"e20":2,</v>
      </c>
      <c r="AF24" s="2" t="str">
        <f t="shared" ca="1" si="16"/>
        <v>{"type":"checkbox","class":"checkbox-big","name":"e20","title":"20. Дым разноцветный","style":"font-size:16px;display:block","state":"{{e20}}"},</v>
      </c>
      <c r="AG24" s="2" t="str">
        <f t="shared" ca="1" si="23"/>
        <v>{"type":"h4","title":"20. Дым разноцветный","style":"font-size:14px;width:85%;float:left"},{"type":"input","title":"папка","name":"e20","state":"{{e20}}","pattern":"[0-9]{1,2}","style":"background: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4" s="2" t="str">
        <f t="shared" ca="1" si="42"/>
        <v>"20": "20.Дым разноцветный",</v>
      </c>
      <c r="AI24" s="16"/>
      <c r="AJ24" s="2" t="str">
        <f t="shared" ca="1" si="43"/>
        <v>20. Дым разноцветный,1,255,1,100,0;</v>
      </c>
      <c r="AK24" s="2" t="str">
        <f t="shared" ca="1" si="14"/>
        <v>20.Дым разноцветный</v>
      </c>
      <c r="AL24" s="29" t="s">
        <v>434</v>
      </c>
      <c r="AM24" s="2"/>
      <c r="AN24" s="17"/>
      <c r="AO24" s="2"/>
      <c r="AP24" s="2"/>
      <c r="AQ24" s="2"/>
      <c r="AR24" s="2"/>
      <c r="AS24" s="16"/>
      <c r="AT24" s="2"/>
      <c r="AU24" s="2"/>
      <c r="AV24" s="18"/>
      <c r="AW24" s="18"/>
      <c r="AX24" s="18"/>
      <c r="AY24" s="18"/>
      <c r="AZ24" s="18"/>
      <c r="BA24" s="18"/>
      <c r="BB24" s="18"/>
      <c r="BC24" s="18"/>
      <c r="BD24" s="18"/>
    </row>
    <row r="25" spans="1:56" ht="14.25" customHeight="1">
      <c r="A25" s="33">
        <f t="shared" ca="1" si="32"/>
        <v>21</v>
      </c>
      <c r="B25" s="38" t="s">
        <v>84</v>
      </c>
      <c r="C25" s="38" t="s">
        <v>85</v>
      </c>
      <c r="H25" s="38">
        <v>15</v>
      </c>
      <c r="I25" s="38">
        <v>170</v>
      </c>
      <c r="J25" s="38">
        <v>25</v>
      </c>
      <c r="L25" s="38">
        <v>1</v>
      </c>
      <c r="M25" s="38">
        <v>255</v>
      </c>
      <c r="N25" s="38">
        <v>1</v>
      </c>
      <c r="O25" s="38">
        <v>100</v>
      </c>
      <c r="P25" s="38">
        <v>0</v>
      </c>
      <c r="Q25" s="38" t="s">
        <v>76</v>
      </c>
      <c r="R25" s="38" t="s">
        <v>86</v>
      </c>
      <c r="S25" s="38">
        <v>2</v>
      </c>
      <c r="T25" s="38">
        <f t="shared" ca="1" si="33"/>
        <v>21</v>
      </c>
      <c r="U25" s="15"/>
      <c r="V25" s="2" t="str">
        <f t="shared" ca="1" si="34"/>
        <v>#define EFF_SMOKEBALLS          ( 21U)    // Дымовые шашки</v>
      </c>
      <c r="W25" s="2" t="str">
        <f t="shared" ca="1" si="35"/>
        <v>String("21. Дымовые шашки,1,255,1,100,0;") +</v>
      </c>
      <c r="X25" s="2" t="str">
        <f t="shared" ca="1" si="36"/>
        <v>String("21. ,1,255,1,100,0;") +</v>
      </c>
      <c r="Y25" s="2" t="str">
        <f t="shared" ca="1" si="37"/>
        <v>String("21. ,1,255,1,100,0;") +</v>
      </c>
      <c r="Z25" s="2" t="str">
        <f t="shared" ca="1" si="11"/>
        <v>21;15;170;25;Дымовые шашки</v>
      </c>
      <c r="AA25" s="2" t="str">
        <f t="shared" ca="1" si="38"/>
        <v xml:space="preserve">        case EFF_SMOKEBALLS:          LOW_DELAY_TICK { effTimer = millis(); smokeballsRoutine();          Eff_Tick (); }  break;  // ( 21U) Дымовые шашки</v>
      </c>
      <c r="AB25" s="2" t="str">
        <f t="shared" ca="1" si="44"/>
        <v>{"name":"21. Дымовые шашки","spmin":1,"spmax":255,"scmin":1,"scmax":100,"type":0},</v>
      </c>
      <c r="AC25" s="4" t="str">
        <f t="shared" ca="1" si="39"/>
        <v>"e21":0,</v>
      </c>
      <c r="AD25" s="4" t="str">
        <f t="shared" ca="1" si="40"/>
        <v>e21=[[e21]]&amp;</v>
      </c>
      <c r="AE25" s="4" t="str">
        <f t="shared" ca="1" si="41"/>
        <v>"e21":2,</v>
      </c>
      <c r="AF25" s="2" t="str">
        <f t="shared" ca="1" si="16"/>
        <v>{"type":"checkbox","class":"checkbox-big","name":"e21","title":"21. Дымовые шашки","style":"font-size:16px;display:block","state":"{{e21}}"},</v>
      </c>
      <c r="AG25" s="2" t="str">
        <f t="shared" ca="1" si="23"/>
        <v>{"type":"h4","title":"21. Дымовые шашки","style":"font-size:14px;width:85%;float:left"},{"type":"input","title":"папка","name":"e21","state":"{{e21}}","pattern":"[0-9]{1,2}","style":"background: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5" s="2" t="str">
        <f t="shared" ca="1" si="42"/>
        <v>"21": "21.Дымовые шашки",</v>
      </c>
      <c r="AI25" s="16"/>
      <c r="AJ25" s="2" t="str">
        <f t="shared" ca="1" si="43"/>
        <v>21. Дымовые шашки,1,255,1,100,0;</v>
      </c>
      <c r="AK25" s="2" t="str">
        <f t="shared" ca="1" si="14"/>
        <v>21.Дымовые шашки</v>
      </c>
      <c r="AL25" s="29" t="s">
        <v>434</v>
      </c>
      <c r="AM25" s="2"/>
      <c r="AN25" s="17"/>
      <c r="AO25" s="2"/>
      <c r="AP25" s="2"/>
      <c r="AQ25" s="2"/>
      <c r="AR25" s="2"/>
      <c r="AS25" s="16"/>
      <c r="AT25" s="2"/>
      <c r="AU25" s="2"/>
      <c r="AV25" s="18"/>
      <c r="AW25" s="18"/>
      <c r="AX25" s="18"/>
      <c r="AY25" s="18"/>
      <c r="AZ25" s="18"/>
      <c r="BA25" s="18"/>
      <c r="BB25" s="18"/>
      <c r="BC25" s="18"/>
      <c r="BD25" s="18"/>
    </row>
    <row r="26" spans="1:56" ht="14.25" customHeight="1">
      <c r="A26" s="33">
        <f t="shared" ca="1" si="32"/>
        <v>22</v>
      </c>
      <c r="B26" s="38" t="s">
        <v>87</v>
      </c>
      <c r="C26" s="38" t="s">
        <v>88</v>
      </c>
      <c r="H26" s="38">
        <v>10</v>
      </c>
      <c r="I26" s="38">
        <v>110</v>
      </c>
      <c r="J26" s="38">
        <v>1</v>
      </c>
      <c r="L26" s="38">
        <v>1</v>
      </c>
      <c r="M26" s="38">
        <v>255</v>
      </c>
      <c r="N26" s="38">
        <v>1</v>
      </c>
      <c r="O26" s="38">
        <v>100</v>
      </c>
      <c r="P26" s="38">
        <v>1</v>
      </c>
      <c r="Q26" s="38" t="s">
        <v>76</v>
      </c>
      <c r="R26" s="38" t="s">
        <v>89</v>
      </c>
      <c r="S26" s="38">
        <v>2</v>
      </c>
      <c r="T26" s="38">
        <f t="shared" ca="1" si="33"/>
        <v>22</v>
      </c>
      <c r="U26" s="15"/>
      <c r="V26" s="2" t="str">
        <f t="shared" ca="1" si="34"/>
        <v>#define EFF_LIQUIDLAMP          ( 22U)    // Жидкая лампа</v>
      </c>
      <c r="W26" s="2" t="str">
        <f t="shared" ca="1" si="35"/>
        <v>String("22. Жидкая лампа,1,255,1,100,1;") +</v>
      </c>
      <c r="X26" s="2" t="str">
        <f t="shared" ca="1" si="36"/>
        <v>String("22. ,1,255,1,100,1;") +</v>
      </c>
      <c r="Y26" s="2" t="str">
        <f t="shared" ca="1" si="37"/>
        <v>String("22. ,1,255,1,100,1;") +</v>
      </c>
      <c r="Z26" s="2" t="str">
        <f t="shared" ca="1" si="11"/>
        <v>22;10;110;1;Жидкая лампа</v>
      </c>
      <c r="AA26" s="2" t="str">
        <f t="shared" ca="1" si="38"/>
        <v xml:space="preserve">        case EFF_LIQUIDLAMP:          LOW_DELAY_TICK { effTimer = millis(); LiquidLampRoutine(true);      Eff_Tick (); }  break;  // ( 22U) Жидкая лампа</v>
      </c>
      <c r="AB26" s="2" t="str">
        <f t="shared" ca="1" si="44"/>
        <v>{"name":"22. Жидкая лампа","spmin":1,"spmax":255,"scmin":1,"scmax":100,"type":1},</v>
      </c>
      <c r="AC26" s="4" t="str">
        <f t="shared" ca="1" si="39"/>
        <v>"e22":0,</v>
      </c>
      <c r="AD26" s="4" t="str">
        <f t="shared" ca="1" si="40"/>
        <v>e22=[[e22]]&amp;</v>
      </c>
      <c r="AE26" s="4" t="str">
        <f t="shared" ca="1" si="41"/>
        <v>"e22":2,</v>
      </c>
      <c r="AF26" s="2" t="str">
        <f t="shared" ca="1" si="16"/>
        <v>{"type":"checkbox","class":"checkbox-big","name":"e22","title":"22. Жидкая лампа","style":"font-size:16px;display:block","state":"{{e22}}"},</v>
      </c>
      <c r="AG26" s="2" t="str">
        <f t="shared" ca="1" si="23"/>
        <v>{"type":"h4","title":"22. Жидкая лампа","style":"font-size:14px;width:85%;float:left"},{"type":"input","title":"папка","name":"e22","state":"{{e22}}","pattern":"[0-9]{1,2}","style":"background: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6" s="2" t="str">
        <f t="shared" ca="1" si="42"/>
        <v>"22": "22.Жидкая лампа",</v>
      </c>
      <c r="AI26" s="16"/>
      <c r="AJ26" s="2" t="str">
        <f t="shared" ca="1" si="43"/>
        <v>22. Жидкая лампа,1,255,1,100,1;</v>
      </c>
      <c r="AK26" s="2" t="str">
        <f t="shared" ca="1" si="14"/>
        <v>22.Жидкая лампа</v>
      </c>
      <c r="AL26" s="29" t="s">
        <v>434</v>
      </c>
      <c r="AM26" s="2"/>
      <c r="AN26" s="17"/>
      <c r="AO26" s="2"/>
      <c r="AP26" s="2"/>
      <c r="AQ26" s="2"/>
      <c r="AR26" s="2"/>
      <c r="AS26" s="16"/>
      <c r="AT26" s="2"/>
      <c r="AU26" s="2"/>
      <c r="AV26" s="18"/>
      <c r="AW26" s="18"/>
      <c r="AX26" s="18"/>
      <c r="AY26" s="18"/>
      <c r="AZ26" s="18"/>
      <c r="BA26" s="18"/>
      <c r="BB26" s="18"/>
      <c r="BC26" s="18"/>
      <c r="BD26" s="18"/>
    </row>
    <row r="27" spans="1:56" ht="14.25" customHeight="1">
      <c r="A27" s="33">
        <f t="shared" ca="1" si="32"/>
        <v>23</v>
      </c>
      <c r="B27" s="38" t="s">
        <v>90</v>
      </c>
      <c r="C27" s="38" t="s">
        <v>91</v>
      </c>
      <c r="H27" s="38">
        <v>10</v>
      </c>
      <c r="I27" s="38">
        <v>124</v>
      </c>
      <c r="J27" s="38">
        <v>39</v>
      </c>
      <c r="L27" s="38">
        <v>1</v>
      </c>
      <c r="M27" s="38">
        <v>255</v>
      </c>
      <c r="N27" s="38">
        <v>1</v>
      </c>
      <c r="O27" s="38">
        <v>100</v>
      </c>
      <c r="P27" s="38">
        <v>0</v>
      </c>
      <c r="Q27" s="38" t="s">
        <v>92</v>
      </c>
      <c r="R27" s="38" t="s">
        <v>93</v>
      </c>
      <c r="S27" s="38">
        <v>2</v>
      </c>
      <c r="T27" s="38">
        <f t="shared" ca="1" si="33"/>
        <v>23</v>
      </c>
      <c r="U27" s="15"/>
      <c r="V27" s="2" t="str">
        <f t="shared" ca="1" si="34"/>
        <v>#define EFF_LIQUIDLAMP_AUTO     ( 23U)    // Жидкая лампа авто</v>
      </c>
      <c r="W27" s="2" t="str">
        <f t="shared" ca="1" si="35"/>
        <v>String("23. Жидкая лампа авто,1,255,1,100,0;") +</v>
      </c>
      <c r="X27" s="2" t="str">
        <f t="shared" ca="1" si="36"/>
        <v>String("23. ,1,255,1,100,0;") +</v>
      </c>
      <c r="Y27" s="2" t="str">
        <f t="shared" ca="1" si="37"/>
        <v>String("23. ,1,255,1,100,0;") +</v>
      </c>
      <c r="Z27" s="2" t="str">
        <f t="shared" ca="1" si="11"/>
        <v>23;10;124;39;Жидкая лампа авто</v>
      </c>
      <c r="AA27" s="2" t="str">
        <f t="shared" ref="AA27:AA29" ca="1" si="45">CONCATENATE("        case EFF_",B27,":",REPT(" ",20-LEN(B27)),Q27," { effTimer = millis(); ",R27,REPT(" ",30-LEN(R27)),"Eff_Tick (); }","  break;  // (",REPT(" ",3-LEN(T27)),T27,"U) ",C27)</f>
        <v xml:space="preserve">        case EFF_LIQUIDLAMP_AUTO:      LOW_DELAY_TICK { effTimer = millis(); LiquidLampRoutine(false);     Eff_Tick (); }  break;  // ( 23U) Жидкая лампа авто</v>
      </c>
      <c r="AB27" s="2" t="str">
        <f t="shared" ca="1" si="44"/>
        <v>{"name":"23. Жидкая лампа авто","spmin":1,"spmax":255,"scmin":1,"scmax":100,"type":0},</v>
      </c>
      <c r="AC27" s="4" t="str">
        <f t="shared" ca="1" si="39"/>
        <v>"e23":0,</v>
      </c>
      <c r="AD27" s="4" t="str">
        <f t="shared" ca="1" si="40"/>
        <v>e23=[[e23]]&amp;</v>
      </c>
      <c r="AE27" s="4" t="str">
        <f t="shared" ca="1" si="41"/>
        <v>"e23":2,</v>
      </c>
      <c r="AF27" s="2" t="str">
        <f t="shared" ca="1" si="16"/>
        <v>{"type":"checkbox","class":"checkbox-big","name":"e23","title":"23. Жидкая лампа авто","style":"font-size:16px;display:block","state":"{{e23}}"},</v>
      </c>
      <c r="AG27" s="2" t="str">
        <f t="shared" ca="1" si="23"/>
        <v>{"type":"h4","title":"23. Жидкая лампа авто","style":"font-size:14px;width:85%;float:left"},{"type":"input","title":"папка","name":"e23","state":"{{e23}}","pattern":"[0-9]{1,2}","style":"background: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7" s="2" t="str">
        <f t="shared" ca="1" si="42"/>
        <v>"23": "23.Жидкая лампа авто",</v>
      </c>
      <c r="AI27" s="16"/>
      <c r="AJ27" s="2" t="str">
        <f t="shared" ca="1" si="43"/>
        <v>23. Жидкая лампа авто,1,255,1,100,0;</v>
      </c>
      <c r="AK27" s="2" t="str">
        <f t="shared" ca="1" si="14"/>
        <v>23.Жидкая лампа авто</v>
      </c>
      <c r="AL27" s="29" t="s">
        <v>434</v>
      </c>
      <c r="AM27" s="2"/>
      <c r="AN27" s="17"/>
      <c r="AO27" s="2"/>
      <c r="AP27" s="2"/>
      <c r="AQ27" s="2"/>
      <c r="AR27" s="2"/>
      <c r="AS27" s="16"/>
      <c r="AT27" s="2"/>
      <c r="AU27" s="2"/>
      <c r="AV27" s="18"/>
      <c r="AW27" s="18"/>
      <c r="AX27" s="18"/>
      <c r="AY27" s="18"/>
      <c r="AZ27" s="18"/>
      <c r="BA27" s="18"/>
      <c r="BB27" s="18"/>
      <c r="BC27" s="18"/>
      <c r="BD27" s="18"/>
    </row>
    <row r="28" spans="1:56" ht="14.25" customHeight="1">
      <c r="A28" s="33">
        <f t="shared" ca="1" si="32"/>
        <v>24</v>
      </c>
      <c r="B28" s="38" t="s">
        <v>94</v>
      </c>
      <c r="C28" s="38" t="s">
        <v>95</v>
      </c>
      <c r="H28" s="38">
        <v>15</v>
      </c>
      <c r="I28" s="38">
        <v>195</v>
      </c>
      <c r="J28" s="38">
        <v>30</v>
      </c>
      <c r="L28" s="38">
        <v>99</v>
      </c>
      <c r="M28" s="38">
        <v>255</v>
      </c>
      <c r="N28" s="38">
        <v>1</v>
      </c>
      <c r="O28" s="38">
        <v>100</v>
      </c>
      <c r="P28" s="38">
        <v>1</v>
      </c>
      <c r="Q28" s="38" t="s">
        <v>39</v>
      </c>
      <c r="R28" s="38" t="s">
        <v>96</v>
      </c>
      <c r="S28" s="38">
        <v>2</v>
      </c>
      <c r="T28" s="38">
        <f t="shared" ca="1" si="33"/>
        <v>24</v>
      </c>
      <c r="U28" s="15"/>
      <c r="V28" s="2" t="str">
        <f t="shared" ca="1" si="34"/>
        <v>#define EFF_SWIRL               ( 24U)    // Завиток</v>
      </c>
      <c r="W28" s="2" t="str">
        <f t="shared" ca="1" si="35"/>
        <v>String("24. Завиток,99,255,1,100,1;") +</v>
      </c>
      <c r="X28" s="2" t="str">
        <f t="shared" ca="1" si="36"/>
        <v>String("24. ,99,255,1,100,1;") +</v>
      </c>
      <c r="Y28" s="2" t="str">
        <f t="shared" ca="1" si="37"/>
        <v>String("24. ,99,255,1,100,1;") +</v>
      </c>
      <c r="Z28" s="2" t="str">
        <f t="shared" ca="1" si="11"/>
        <v>24;15;195;30;Завиток</v>
      </c>
      <c r="AA28" s="2" t="str">
        <f t="shared" ca="1" si="45"/>
        <v xml:space="preserve">        case EFF_SWIRL:               DYNAMIC_DELAY_TICK { effTimer = millis(); Swirl();                      Eff_Tick (); }  break;  // ( 24U) Завиток</v>
      </c>
      <c r="AB28" s="2" t="str">
        <f t="shared" ca="1" si="44"/>
        <v>{"name":"24. Завиток","spmin":99,"spmax":255,"scmin":1,"scmax":100,"type":1},</v>
      </c>
      <c r="AC28" s="4" t="str">
        <f t="shared" ca="1" si="39"/>
        <v>"e24":0,</v>
      </c>
      <c r="AD28" s="4" t="str">
        <f t="shared" ca="1" si="40"/>
        <v>e24=[[e24]]&amp;</v>
      </c>
      <c r="AE28" s="4" t="str">
        <f t="shared" ca="1" si="41"/>
        <v>"e24":2,</v>
      </c>
      <c r="AF28" s="2" t="str">
        <f t="shared" ca="1" si="16"/>
        <v>{"type":"checkbox","class":"checkbox-big","name":"e24","title":"24. Завиток","style":"font-size:16px;display:block","state":"{{e24}}"},</v>
      </c>
      <c r="AG28" s="2" t="str">
        <f t="shared" ca="1" si="23"/>
        <v>{"type":"h4","title":"24. Завиток","style":"font-size:14px;width:85%;float:left"},{"type":"input","title":"папка","name":"e24","state":"{{e24}}","pattern":"[0-9]{1,2}","style":"background: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8" s="2" t="str">
        <f t="shared" ca="1" si="42"/>
        <v>"24": "24.Завиток",</v>
      </c>
      <c r="AI28" s="16"/>
      <c r="AJ28" s="2" t="str">
        <f t="shared" ca="1" si="43"/>
        <v>24. Завиток,99,255,1,100,1;</v>
      </c>
      <c r="AK28" s="2" t="str">
        <f t="shared" ca="1" si="14"/>
        <v>24.Завиток</v>
      </c>
      <c r="AL28" s="29" t="s">
        <v>434</v>
      </c>
      <c r="AM28" s="2"/>
      <c r="AN28" s="17"/>
      <c r="AO28" s="2"/>
      <c r="AP28" s="2"/>
      <c r="AQ28" s="2"/>
      <c r="AR28" s="2"/>
      <c r="AS28" s="16"/>
      <c r="AT28" s="2"/>
      <c r="AU28" s="2"/>
      <c r="AV28" s="18"/>
      <c r="AW28" s="18"/>
      <c r="AX28" s="18"/>
      <c r="AY28" s="18"/>
      <c r="AZ28" s="18"/>
      <c r="BA28" s="18"/>
      <c r="BB28" s="18"/>
      <c r="BC28" s="18"/>
      <c r="BD28" s="18"/>
    </row>
    <row r="29" spans="1:56">
      <c r="A29" s="33">
        <f t="shared" ca="1" si="32"/>
        <v>25</v>
      </c>
      <c r="B29" s="38" t="s">
        <v>370</v>
      </c>
      <c r="C29" s="38" t="s">
        <v>371</v>
      </c>
      <c r="H29" s="38">
        <v>17</v>
      </c>
      <c r="I29" s="38">
        <v>215</v>
      </c>
      <c r="J29" s="38">
        <v>99</v>
      </c>
      <c r="L29" s="38">
        <v>1</v>
      </c>
      <c r="M29" s="38">
        <v>254</v>
      </c>
      <c r="N29" s="38">
        <v>1</v>
      </c>
      <c r="O29" s="38">
        <v>100</v>
      </c>
      <c r="P29" s="38">
        <v>0</v>
      </c>
      <c r="Q29" s="38" t="s">
        <v>39</v>
      </c>
      <c r="R29" s="38" t="s">
        <v>373</v>
      </c>
      <c r="S29" s="38">
        <v>2</v>
      </c>
      <c r="T29" s="38">
        <f t="shared" ca="1" si="33"/>
        <v>25</v>
      </c>
      <c r="V29" s="2" t="str">
        <f t="shared" ca="1" si="34"/>
        <v>#define EFF_STARS               ( 25U)    // Звезды</v>
      </c>
      <c r="Z29" s="2" t="str">
        <f t="shared" ca="1" si="11"/>
        <v>25;17;215;99;Звезды</v>
      </c>
      <c r="AA29" s="2" t="str">
        <f t="shared" ca="1" si="45"/>
        <v xml:space="preserve">        case EFF_STARS:               DYNAMIC_DELAY_TICK { effTimer = millis(); EffectStars();                Eff_Tick (); }  break;  // ( 25U) Звезды</v>
      </c>
      <c r="AC29" s="4" t="str">
        <f t="shared" ca="1" si="39"/>
        <v>"e25":0,</v>
      </c>
      <c r="AD29" s="4" t="str">
        <f t="shared" ca="1" si="40"/>
        <v>e25=[[e25]]&amp;</v>
      </c>
      <c r="AE29" s="4" t="str">
        <f t="shared" ca="1" si="41"/>
        <v>"e25":2,</v>
      </c>
      <c r="AF29" s="2" t="str">
        <f t="shared" ca="1" si="16"/>
        <v>{"type":"checkbox","class":"checkbox-big","name":"e25","title":"25. Звезды","style":"font-size:16px;display:block","state":"{{e25}}"},</v>
      </c>
      <c r="AG29" s="2" t="str">
        <f t="shared" ca="1" si="23"/>
        <v>{"type":"h4","title":"25. Звезды","style":"font-size:14px;width:85%;float:left"},{"type":"input","title":"папка","name":"e25","state":"{{e25}}","pattern":"[0-9]{1,2}","style":"background: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29" s="2" t="str">
        <f t="shared" ca="1" si="42"/>
        <v>"25": "25.Звезды",</v>
      </c>
      <c r="AI29" s="16"/>
      <c r="AJ29" s="2" t="str">
        <f t="shared" ca="1" si="43"/>
        <v>25. Звезды,1,254,1,100,0;</v>
      </c>
      <c r="AK29" s="2" t="str">
        <f t="shared" ca="1" si="14"/>
        <v>25.Звезды</v>
      </c>
      <c r="AL29" s="29" t="s">
        <v>434</v>
      </c>
    </row>
    <row r="30" spans="1:56">
      <c r="A30" s="33">
        <f t="shared" ca="1" si="32"/>
        <v>26</v>
      </c>
      <c r="B30" s="38" t="s">
        <v>441</v>
      </c>
      <c r="C30" s="38" t="s">
        <v>437</v>
      </c>
      <c r="H30" s="38">
        <v>12</v>
      </c>
      <c r="I30" s="38">
        <v>18</v>
      </c>
      <c r="J30" s="38">
        <v>26</v>
      </c>
      <c r="L30" s="38">
        <v>25</v>
      </c>
      <c r="M30" s="38">
        <v>85</v>
      </c>
      <c r="N30" s="38">
        <v>20</v>
      </c>
      <c r="O30" s="38">
        <v>100</v>
      </c>
      <c r="P30" s="38">
        <v>0</v>
      </c>
      <c r="Q30" s="38" t="s">
        <v>76</v>
      </c>
      <c r="R30" s="38" t="s">
        <v>446</v>
      </c>
      <c r="S30" s="38">
        <v>2</v>
      </c>
      <c r="T30" s="38">
        <f t="shared" ca="1" si="33"/>
        <v>26</v>
      </c>
      <c r="V30" s="2" t="str">
        <f t="shared" ca="1" si="34"/>
        <v>#define EFF_NEW_STARS           ( 26U)    // Звезды Новые</v>
      </c>
      <c r="Z30" s="2" t="str">
        <f t="shared" ca="1" si="11"/>
        <v>26;12;18;26;Звезды Новые</v>
      </c>
      <c r="AA30" s="2" t="str">
        <f t="shared" ref="AA30:AA33" ca="1" si="46">CONCATENATE("        case EFF_",B30,":",REPT(" ",20-LEN(B30)),Q30," { effTimer = millis(); ",R30,REPT(" ",30-LEN(R30)),"Eff_Tick (); }","  break;  // (",REPT(" ",3-LEN(T30)),T30,"U) ",C30)</f>
        <v xml:space="preserve">        case EFF_NEW_STARS:           LOW_DELAY_TICK { effTimer = millis(); StarsEffect();                Eff_Tick (); }  break;  // ( 26U) Звезды Новые</v>
      </c>
      <c r="AC30" s="4" t="str">
        <f t="shared" ca="1" si="39"/>
        <v>"e26":0,</v>
      </c>
      <c r="AD30" s="4" t="str">
        <f ca="1">CONCATENATE("e",T30,"=[[e",T30,"]]&amp;")</f>
        <v>e26=[[e26]]&amp;</v>
      </c>
      <c r="AE30" s="4" t="str">
        <f t="shared" ca="1" si="41"/>
        <v>"e26":2,</v>
      </c>
      <c r="AF30" s="2" t="str">
        <f t="shared" ca="1" si="16"/>
        <v>{"type":"checkbox","class":"checkbox-big","name":"e26","title":"26. Звезды Новые","style":"font-size:16px;display:block","state":"{{e26}}"},</v>
      </c>
      <c r="AG30" s="2" t="str">
        <f t="shared" ref="AG30:AG32" ca="1" si="47">CONCATENATE("{""type"":""h4"",""title"":""",A30,". ",C30,""",""style"":""font-size:14px;width:85%;float:left""},{""type"":""input"",""title"":""папка"",""name"":""e",T30,""",""state"":""{{e",T30,"}}"",""pattern"":""[0-9]{1,2}"",""style"":""",AL30,"""},{""type"":""hr""},")</f>
        <v>{"type":"h4","title":"26. Звезды Новые","style":"font-size:14px;width:85%;float:left"},{"type":"input","title":"папка","name":"e26","state":"{{e26}}","pattern":"[0-9]{1,2}","style":"background: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0" s="2" t="str">
        <f t="shared" ca="1" si="42"/>
        <v>"26": "26.Звезды Новые",</v>
      </c>
      <c r="AI30" s="16"/>
      <c r="AJ30" s="2" t="str">
        <f t="shared" ca="1" si="43"/>
        <v>26. Звезды Новые,25,85,20,100,0;</v>
      </c>
      <c r="AK30" s="2" t="str">
        <f t="shared" ca="1" si="14"/>
        <v>26.Звезды Новые</v>
      </c>
      <c r="AL30" s="29" t="s">
        <v>434</v>
      </c>
    </row>
    <row r="31" spans="1:56" ht="14.25" customHeight="1">
      <c r="A31" s="33">
        <f ca="1">MAX(OFFSET(A31,-4,0,4,1))+1</f>
        <v>27</v>
      </c>
      <c r="B31" s="38" t="s">
        <v>97</v>
      </c>
      <c r="C31" s="38" t="s">
        <v>98</v>
      </c>
      <c r="H31" s="38">
        <v>8</v>
      </c>
      <c r="I31" s="38">
        <v>8</v>
      </c>
      <c r="J31" s="38">
        <v>21</v>
      </c>
      <c r="L31" s="38">
        <v>1</v>
      </c>
      <c r="M31" s="38">
        <v>30</v>
      </c>
      <c r="N31" s="38">
        <v>1</v>
      </c>
      <c r="O31" s="38">
        <v>100</v>
      </c>
      <c r="P31" s="38">
        <v>0</v>
      </c>
      <c r="Q31" s="38" t="s">
        <v>35</v>
      </c>
      <c r="R31" s="38" t="s">
        <v>99</v>
      </c>
      <c r="S31" s="38">
        <v>2</v>
      </c>
      <c r="T31" s="38">
        <f t="shared" ref="T31:T33" ca="1" si="48">MAX(OFFSET(T31,-4,0,4,1))+1</f>
        <v>27</v>
      </c>
      <c r="U31" s="15"/>
      <c r="V31" s="2" t="str">
        <f t="shared" ref="V31:V33" ca="1" si="49">CONCATENATE("#define EFF_",B31,REPT(" ",20-LEN(B31)),"(",REPT(" ",3-LEN(T31)),T31,"U)    // ",C31)</f>
        <v>#define EFF_ZEBRA               ( 27U)    // Зебра</v>
      </c>
      <c r="W31" s="2" t="str">
        <f t="shared" ref="W31:W32" ca="1" si="50">CONCATENATE("String(""",A31,". ",C31,",",L31,",",M31,",",N31,",",O31,",",P31,";"") +")</f>
        <v>String("27. Зебра,1,30,1,100,0;") +</v>
      </c>
      <c r="X31" s="2" t="str">
        <f t="shared" ref="X31:X32" ca="1" si="51">CONCATENATE("String(""",A31,". ",D31,",",L31,",",M31,",",N31,",",O31,",",P31,";"") +")</f>
        <v>String("27. ,1,30,1,100,0;") +</v>
      </c>
      <c r="Y31" s="2" t="str">
        <f t="shared" ref="Y31:Y32" ca="1" si="52">CONCATENATE("String(""",A31,". ",E31,",",L31,",",M31,",",N31,",",O31,",",P31,";"") +")</f>
        <v>String("27. ,1,30,1,100,0;") +</v>
      </c>
      <c r="Z31" s="2" t="str">
        <f t="shared" ca="1" si="11"/>
        <v>27;8;8;21;Зебра</v>
      </c>
      <c r="AA31" s="2" t="str">
        <f t="shared" ca="1" si="46"/>
        <v xml:space="preserve">        case EFF_ZEBRA:               HIGH_DELAY_TICK { effTimer = millis(); zebraNoiseRoutine();          Eff_Tick (); }  break;  // ( 27U) Зебра</v>
      </c>
      <c r="AB31" s="2" t="str">
        <f t="shared" ref="AB31:AB32" ca="1" si="53">CONCATENATE("{""name"":""",A31,". ",C31,""",""spmin"":",L31,",""spmax"":",M31,",""scmin"":",N31,",""scmax"":",O31,",""type"":",P31,"},")</f>
        <v>{"name":"27. Зебра","spmin":1,"spmax":30,"scmin":1,"scmax":100,"type":0},</v>
      </c>
      <c r="AC31" s="4" t="str">
        <f t="shared" ref="AC31:AC33" ca="1" si="54">CONCATENATE("""","e",T31,"""",":0,")</f>
        <v>"e27":0,</v>
      </c>
      <c r="AD31" s="4" t="str">
        <f t="shared" ref="AD31:AD33" ca="1" si="55">CONCATENATE("e",T31,"=[[e",T31,"]]&amp;")</f>
        <v>e27=[[e27]]&amp;</v>
      </c>
      <c r="AE31" s="4" t="str">
        <f t="shared" ref="AE31:AE33" ca="1" si="56">CONCATENATE("""","e",T31,"""",":",S31,",")</f>
        <v>"e27":2,</v>
      </c>
      <c r="AF31" s="2" t="str">
        <f t="shared" ca="1" si="16"/>
        <v>{"type":"checkbox","class":"checkbox-big","name":"e27","title":"27. Зебра","style":"font-size:16px;display:block","state":"{{e27}}"},</v>
      </c>
      <c r="AG31" s="2" t="str">
        <f t="shared" ca="1" si="47"/>
        <v>{"type":"h4","title":"27. Зебра","style":"font-size:14px;width:85%;float:left"},{"type":"input","title":"папка","name":"e27","state":"{{e27}}","pattern":"[0-9]{1,2}","style":"background: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1" s="2" t="str">
        <f t="shared" ref="AH31:AH33" ca="1" si="57">CONCATENATE("""",A31,"""",": """,A31,".",C31,""",")</f>
        <v>"27": "27.Зебра",</v>
      </c>
      <c r="AI31" s="16"/>
      <c r="AJ31" s="2" t="str">
        <f t="shared" ref="AJ31:AJ33" ca="1" si="58">CONCATENATE(A31,". ",C31,",",L31,",",M31,",",N31,",",O31,",",P31,";")</f>
        <v>27. Зебра,1,30,1,100,0;</v>
      </c>
      <c r="AK31" s="2" t="str">
        <f t="shared" ca="1" si="14"/>
        <v>27.Зебра</v>
      </c>
      <c r="AL31" s="29" t="s">
        <v>434</v>
      </c>
      <c r="AM31" s="2"/>
      <c r="AN31" s="17"/>
      <c r="AO31" s="2"/>
      <c r="AP31" s="2"/>
      <c r="AQ31" s="2"/>
      <c r="AR31" s="2"/>
      <c r="AS31" s="16"/>
      <c r="AT31" s="2"/>
      <c r="AU31" s="2"/>
      <c r="AV31" s="18"/>
      <c r="AW31" s="18"/>
      <c r="AX31" s="18"/>
      <c r="AY31" s="18"/>
      <c r="AZ31" s="18"/>
      <c r="BA31" s="18"/>
      <c r="BB31" s="18"/>
      <c r="BC31" s="18"/>
      <c r="BD31" s="18"/>
    </row>
    <row r="32" spans="1:56">
      <c r="A32" s="33">
        <f ca="1">MAX(OFFSET(A32,-4,0,4,1))+1</f>
        <v>28</v>
      </c>
      <c r="B32" s="38" t="s">
        <v>400</v>
      </c>
      <c r="C32" s="38" t="s">
        <v>401</v>
      </c>
      <c r="H32" s="38">
        <v>10</v>
      </c>
      <c r="I32" s="38">
        <v>212</v>
      </c>
      <c r="J32" s="38">
        <v>76</v>
      </c>
      <c r="L32" s="38">
        <v>1</v>
      </c>
      <c r="M32" s="38">
        <v>255</v>
      </c>
      <c r="N32" s="38">
        <v>1</v>
      </c>
      <c r="O32" s="38">
        <v>100</v>
      </c>
      <c r="P32" s="38">
        <v>1</v>
      </c>
      <c r="Q32" s="38" t="s">
        <v>39</v>
      </c>
      <c r="R32" s="38" t="s">
        <v>402</v>
      </c>
      <c r="S32" s="38">
        <v>2</v>
      </c>
      <c r="T32" s="38">
        <f t="shared" ca="1" si="48"/>
        <v>28</v>
      </c>
      <c r="V32" s="2" t="str">
        <f t="shared" ca="1" si="49"/>
        <v>#define EFF_TIXYLAND            ( 28U)    // Земля Тикси</v>
      </c>
      <c r="W32" s="2" t="str">
        <f t="shared" ca="1" si="50"/>
        <v>String("28. Земля Тикси,1,255,1,100,1;") +</v>
      </c>
      <c r="X32" s="2" t="str">
        <f t="shared" ca="1" si="51"/>
        <v>String("28. ,1,255,1,100,1;") +</v>
      </c>
      <c r="Y32" s="2" t="str">
        <f t="shared" ca="1" si="52"/>
        <v>String("28. ,1,255,1,100,1;") +</v>
      </c>
      <c r="Z32" s="2" t="str">
        <f t="shared" ca="1" si="11"/>
        <v>28;10;212;76;Земля Тикси</v>
      </c>
      <c r="AA32" s="2" t="str">
        <f t="shared" ca="1" si="46"/>
        <v xml:space="preserve">        case EFF_TIXYLAND:            DYNAMIC_DELAY_TICK { effTimer = millis(); TixyLand();                   Eff_Tick (); }  break;  // ( 28U) Земля Тикси</v>
      </c>
      <c r="AB32" s="2" t="str">
        <f t="shared" ca="1" si="53"/>
        <v>{"name":"28. Земля Тикси","spmin":1,"spmax":255,"scmin":1,"scmax":100,"type":1},</v>
      </c>
      <c r="AC32" s="4" t="str">
        <f t="shared" ca="1" si="54"/>
        <v>"e28":0,</v>
      </c>
      <c r="AD32" s="4" t="str">
        <f t="shared" ca="1" si="55"/>
        <v>e28=[[e28]]&amp;</v>
      </c>
      <c r="AE32" s="4" t="str">
        <f t="shared" ca="1" si="56"/>
        <v>"e28":2,</v>
      </c>
      <c r="AF32" s="2" t="str">
        <f t="shared" ca="1" si="16"/>
        <v>{"type":"checkbox","class":"checkbox-big","name":"e28","title":"28. Земля Тикси","style":"font-size:16px;display:block","state":"{{e28}}"},</v>
      </c>
      <c r="AG32" s="2" t="str">
        <f t="shared" ca="1" si="47"/>
        <v>{"type":"h4","title":"28. Земля Тикси","style":"font-size:14px;width:85%;float:left"},{"type":"input","title":"папка","name":"e28","state":"{{e28}}","pattern":"[0-9]{1,2}","style":"background: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2" s="2" t="str">
        <f t="shared" ca="1" si="57"/>
        <v>"28": "28.Земля Тикси",</v>
      </c>
      <c r="AI32" s="16"/>
      <c r="AJ32" s="2" t="str">
        <f t="shared" ca="1" si="58"/>
        <v>28. Земля Тикси,1,255,1,100,1;</v>
      </c>
      <c r="AK32" s="2" t="str">
        <f t="shared" ca="1" si="14"/>
        <v>28.Земля Тикси</v>
      </c>
      <c r="AL32" s="29" t="s">
        <v>434</v>
      </c>
    </row>
    <row r="33" spans="1:56">
      <c r="A33" s="33">
        <f ca="1">MAX(OFFSET(A33,-4,0,4,1))+1</f>
        <v>29</v>
      </c>
      <c r="B33" s="38" t="s">
        <v>453</v>
      </c>
      <c r="C33" s="38" t="s">
        <v>448</v>
      </c>
      <c r="H33" s="38">
        <v>12</v>
      </c>
      <c r="I33" s="38">
        <v>100</v>
      </c>
      <c r="J33" s="38">
        <v>60</v>
      </c>
      <c r="L33" s="38">
        <v>1</v>
      </c>
      <c r="M33" s="38">
        <v>255</v>
      </c>
      <c r="N33" s="38">
        <v>1</v>
      </c>
      <c r="O33" s="38">
        <v>100</v>
      </c>
      <c r="P33" s="38">
        <v>1</v>
      </c>
      <c r="Q33" s="38" t="s">
        <v>76</v>
      </c>
      <c r="R33" s="57" t="s">
        <v>449</v>
      </c>
      <c r="S33" s="38">
        <v>2</v>
      </c>
      <c r="T33" s="38">
        <f t="shared" ca="1" si="48"/>
        <v>29</v>
      </c>
      <c r="V33" s="2" t="str">
        <f t="shared" ca="1" si="49"/>
        <v>#define EFF_SNAKE_CK            ( 29U)    // Змейка</v>
      </c>
      <c r="Z33" s="2" t="str">
        <f t="shared" ca="1" si="11"/>
        <v>29;12;100;60;Змейка</v>
      </c>
      <c r="AA33" s="2" t="str">
        <f t="shared" ca="1" si="46"/>
        <v xml:space="preserve">        case EFF_SNAKE_CK:            LOW_DELAY_TICK { effTimer = millis(); snakeGameRoutine();           Eff_Tick (); }  break;  // ( 29U) Змейка</v>
      </c>
      <c r="AC33" s="4" t="str">
        <f t="shared" ca="1" si="54"/>
        <v>"e29":0,</v>
      </c>
      <c r="AD33" s="4" t="str">
        <f t="shared" ca="1" si="55"/>
        <v>e29=[[e29]]&amp;</v>
      </c>
      <c r="AE33" s="4" t="str">
        <f t="shared" ca="1" si="56"/>
        <v>"e29":2,</v>
      </c>
      <c r="AF33" s="2" t="str">
        <f t="shared" ca="1" si="16"/>
        <v>{"type":"checkbox","class":"checkbox-big","name":"e29","title":"29. Змейка","style":"font-size:16px;display:block","state":"{{e29}}"},</v>
      </c>
      <c r="AG33" s="2" t="str">
        <f t="shared" ref="AG33:AG51" ca="1" si="59">CONCATENATE("{""type"":""h4"",""title"":""",A33,". ",C33,""",""style"":""font-size:14px;width:85%;float:left""},{""type"":""input"",""title"":""папка"",""name"":""e",T33,""",""state"":""{{e",T33,"}}"",""pattern"":""[0-9]{1,2}"",""style"":""",AL33,"""},{""type"":""hr""},")</f>
        <v>{"type":"h4","title":"29. Змейка","style":"font-size:14px;width:85%;float:left"},{"type":"input","title":"папка","name":"e29","state":"{{e29}}","pattern":"[0-9]{1,2}","style":"background: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3" s="2" t="str">
        <f t="shared" ca="1" si="57"/>
        <v>"29": "29.Змейка",</v>
      </c>
      <c r="AI33" s="16"/>
      <c r="AJ33" s="2" t="str">
        <f t="shared" ca="1" si="58"/>
        <v>29. Змейка,1,255,1,100,1;</v>
      </c>
      <c r="AK33" s="2" t="str">
        <f t="shared" ca="1" si="14"/>
        <v>29.Змейка</v>
      </c>
      <c r="AL33" s="29" t="s">
        <v>434</v>
      </c>
    </row>
    <row r="34" spans="1:56" ht="14.25" customHeight="1">
      <c r="A34" s="33">
        <f t="shared" ref="A34:A36" ca="1" si="60">MAX(OFFSET(A34,-4,0,4,1))+1</f>
        <v>30</v>
      </c>
      <c r="B34" s="38" t="s">
        <v>100</v>
      </c>
      <c r="C34" s="38" t="s">
        <v>101</v>
      </c>
      <c r="H34" s="38">
        <v>10</v>
      </c>
      <c r="I34" s="38">
        <v>40</v>
      </c>
      <c r="J34" s="38">
        <v>15</v>
      </c>
      <c r="L34" s="38">
        <v>1</v>
      </c>
      <c r="M34" s="38">
        <v>255</v>
      </c>
      <c r="N34" s="38">
        <v>1</v>
      </c>
      <c r="O34" s="38">
        <v>100</v>
      </c>
      <c r="P34" s="38">
        <v>1</v>
      </c>
      <c r="Q34" s="38" t="s">
        <v>76</v>
      </c>
      <c r="R34" s="38" t="s">
        <v>102</v>
      </c>
      <c r="S34" s="38">
        <v>13</v>
      </c>
      <c r="T34" s="38">
        <f ca="1">MAX(OFFSET(T34,-4,0,4,1))+1</f>
        <v>30</v>
      </c>
      <c r="U34" s="15"/>
      <c r="V34" s="2" t="str">
        <f ca="1">CONCATENATE("#define EFF_",B34,REPT(" ",20-LEN(B34)),"(",REPT(" ",3-LEN(T34)),T34,"U)    // ",C34)</f>
        <v>#define EFF_SNAKES              ( 30U)    // Змейки</v>
      </c>
      <c r="W34" s="2" t="str">
        <f ca="1">CONCATENATE("String(""",A34,". ",C34,",",L34,",",M34,",",N34,",",O34,",",P34,";"") +")</f>
        <v>String("30. Змейки,1,255,1,100,1;") +</v>
      </c>
      <c r="X34" s="2" t="str">
        <f ca="1">CONCATENATE("String(""",A34,". ",D34,",",L34,",",M34,",",N34,",",O34,",",P34,";"") +")</f>
        <v>String("30. ,1,255,1,100,1;") +</v>
      </c>
      <c r="Y34" s="2" t="str">
        <f ca="1">CONCATENATE("String(""",A34,". ",E34,",",L34,",",M34,",",N34,",",O34,",",P34,";"") +")</f>
        <v>String("30. ,1,255,1,100,1;") +</v>
      </c>
      <c r="Z34" s="2" t="str">
        <f t="shared" ca="1" si="11"/>
        <v>30;10;40;15;Змейки</v>
      </c>
      <c r="AA34" s="2" t="str">
        <f ca="1">CONCATENATE("        case EFF_",B34,":",REPT(" ",20-LEN(B34)),Q34," { effTimer = millis(); ",R34,REPT(" ",30-LEN(R34)),"Eff_Tick (); }","  break;  // (",REPT(" ",3-LEN(T34)),T34,"U) ",C34)</f>
        <v xml:space="preserve">        case EFF_SNAKES:              LOW_DELAY_TICK { effTimer = millis(); snakesRoutine();              Eff_Tick (); }  break;  // ( 30U) Змейки</v>
      </c>
      <c r="AB34" s="2" t="str">
        <f ca="1">CONCATENATE("{""name"":""",A34,". ",C34,""",""spmin"":",L34,",""spmax"":",M34,",""scmin"":",N34,",""scmax"":",O34,",""type"":",P34,"},")</f>
        <v>{"name":"30. Змейки","spmin":1,"spmax":255,"scmin":1,"scmax":100,"type":1},</v>
      </c>
      <c r="AC34" s="4" t="str">
        <f ca="1">CONCATENATE("""","e",T34,"""",":0,")</f>
        <v>"e30":0,</v>
      </c>
      <c r="AD34" s="4" t="str">
        <f ca="1">CONCATENATE("e",T34,"=[[e",T34,"]]&amp;")</f>
        <v>e30=[[e30]]&amp;</v>
      </c>
      <c r="AE34" s="4" t="str">
        <f ca="1">CONCATENATE("""","e",T34,"""",":",S34,",")</f>
        <v>"e30":13,</v>
      </c>
      <c r="AF34" s="2" t="str">
        <f t="shared" ref="AF34:AF51" ca="1" si="61">CONCATENATE("{""type"":""checkbox"",""class"":""checkbox-big"",""name"":""e",T34,""",""title"":""",A34,". ",C34,""",""style"":""font-size:16px;display:block"",""state"":""{{e",T34,"}}""},")</f>
        <v>{"type":"checkbox","class":"checkbox-big","name":"e30","title":"30. Змейки","style":"font-size:16px;display:block","state":"{{e30}}"},</v>
      </c>
      <c r="AG34" s="2" t="str">
        <f t="shared" ca="1" si="59"/>
        <v>{"type":"h4","title":"30. Змейки","style":"font-size:14px;width:85%;float:left"},{"type":"input","title":"папка","name":"e30","state":"{{e30}}","pattern":"[0-9]{1,2}","style":"background: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4" s="2" t="str">
        <f ca="1">CONCATENATE("""",A34,"""",": """,A34,".",C34,""",")</f>
        <v>"30": "30.Змейки",</v>
      </c>
      <c r="AI34" s="16"/>
      <c r="AJ34" s="2" t="str">
        <f ca="1">CONCATENATE(A34,". ",C34,",",L34,",",M34,",",N34,",",O34,",",P34,";")</f>
        <v>30. Змейки,1,255,1,100,1;</v>
      </c>
      <c r="AK34" s="2" t="str">
        <f t="shared" ca="1" si="14"/>
        <v>30.Змейки</v>
      </c>
      <c r="AL34" s="29" t="s">
        <v>434</v>
      </c>
      <c r="AM34" s="2"/>
      <c r="AN34" s="17"/>
      <c r="AO34" s="2"/>
      <c r="AP34" s="2"/>
      <c r="AQ34" s="2"/>
      <c r="AR34" s="2"/>
      <c r="AS34" s="16"/>
      <c r="AT34" s="2"/>
      <c r="AU34" s="2"/>
      <c r="AV34" s="18"/>
      <c r="AW34" s="18"/>
      <c r="AX34" s="18"/>
      <c r="AY34" s="18"/>
      <c r="AZ34" s="18"/>
      <c r="BA34" s="18"/>
      <c r="BB34" s="18"/>
      <c r="BC34" s="18"/>
      <c r="BD34" s="18"/>
    </row>
    <row r="35" spans="1:56" ht="14.25" customHeight="1">
      <c r="A35" s="33">
        <f t="shared" ca="1" si="60"/>
        <v>31</v>
      </c>
      <c r="B35" s="38" t="s">
        <v>103</v>
      </c>
      <c r="C35" s="38" t="s">
        <v>104</v>
      </c>
      <c r="H35" s="38">
        <v>12</v>
      </c>
      <c r="I35" s="38">
        <v>233</v>
      </c>
      <c r="J35" s="38">
        <v>30</v>
      </c>
      <c r="L35" s="38">
        <v>1</v>
      </c>
      <c r="M35" s="38">
        <v>255</v>
      </c>
      <c r="N35" s="38">
        <v>1</v>
      </c>
      <c r="O35" s="38">
        <v>100</v>
      </c>
      <c r="P35" s="38">
        <v>0</v>
      </c>
      <c r="Q35" s="38" t="s">
        <v>39</v>
      </c>
      <c r="R35" s="38" t="s">
        <v>105</v>
      </c>
      <c r="S35" s="38">
        <v>4</v>
      </c>
      <c r="T35" s="38">
        <f ca="1">MAX(OFFSET(T35,-4,0,4,1))+1</f>
        <v>31</v>
      </c>
      <c r="U35" s="15"/>
      <c r="V35" s="2" t="str">
        <f ca="1">CONCATENATE("#define EFF_",B35,REPT(" ",20-LEN(B35)),"(",REPT(" ",3-LEN(T35)),T35,"U)    // ",C35)</f>
        <v>#define EFF_FOUNTAIN            ( 31U)    // Источник</v>
      </c>
      <c r="W35" s="2" t="str">
        <f ca="1">CONCATENATE("String(""",A35,". ",C35,",",L35,",",M35,",",N35,",",O35,",",P35,";"") +")</f>
        <v>String("31. Источник,1,255,1,100,0;") +</v>
      </c>
      <c r="X35" s="2" t="str">
        <f ca="1">CONCATENATE("String(""",A35,". ",D35,",",L35,",",M35,",",N35,",",O35,",",P35,";"") +")</f>
        <v>String("31. ,1,255,1,100,0;") +</v>
      </c>
      <c r="Y35" s="2" t="str">
        <f ca="1">CONCATENATE("String(""",A35,". ",E35,",",L35,",",M35,",",N35,",",O35,",",P35,";"") +")</f>
        <v>String("31. ,1,255,1,100,0;") +</v>
      </c>
      <c r="Z35" s="2" t="str">
        <f t="shared" ca="1" si="11"/>
        <v>31;12;233;30;Источник</v>
      </c>
      <c r="AA35" s="2" t="str">
        <f ca="1">CONCATENATE("        case EFF_",B35,":",REPT(" ",20-LEN(B35)),Q35," { effTimer = millis(); ",R35,REPT(" ",30-LEN(R35)),"Eff_Tick (); }","  break;  // (",REPT(" ",3-LEN(T35)),T35,"U) ",C35)</f>
        <v xml:space="preserve">        case EFF_FOUNTAIN:            DYNAMIC_DELAY_TICK { effTimer = millis(); starfield2Routine();          Eff_Tick (); }  break;  // ( 31U) Источник</v>
      </c>
      <c r="AB35" s="2" t="str">
        <f ca="1">CONCATENATE("{""name"":""",A35,". ",C35,""",""spmin"":",L35,",""spmax"":",M35,",""scmin"":",N35,",""scmax"":",O35,",""type"":",P35,"},")</f>
        <v>{"name":"31. Источник","spmin":1,"spmax":255,"scmin":1,"scmax":100,"type":0},</v>
      </c>
      <c r="AC35" s="4" t="str">
        <f ca="1">CONCATENATE("""","e",T35,"""",":0,")</f>
        <v>"e31":0,</v>
      </c>
      <c r="AD35" s="4" t="str">
        <f ca="1">CONCATENATE("e",T35,"=[[e",T35,"]]&amp;")</f>
        <v>e31=[[e31]]&amp;</v>
      </c>
      <c r="AE35" s="4" t="str">
        <f ca="1">CONCATENATE("""","e",T35,"""",":",S35,",")</f>
        <v>"e31":4,</v>
      </c>
      <c r="AF35" s="2" t="str">
        <f t="shared" ca="1" si="61"/>
        <v>{"type":"checkbox","class":"checkbox-big","name":"e31","title":"31. Источник","style":"font-size:16px;display:block","state":"{{e31}}"},</v>
      </c>
      <c r="AG35" s="2" t="str">
        <f t="shared" ca="1" si="59"/>
        <v>{"type":"h4","title":"31. Источник","style":"font-size:14px;width:85%;float:left"},{"type":"input","title":"папка","name":"e31","state":"{{e31}}","pattern":"[0-9]{1,2}","style":"background: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5" s="2" t="str">
        <f ca="1">CONCATENATE("""",A35,"""",": """,A35,".",C35,""",")</f>
        <v>"31": "31.Источник",</v>
      </c>
      <c r="AI35" s="16"/>
      <c r="AJ35" s="2" t="str">
        <f ca="1">CONCATENATE(A35,". ",C35,",",L35,",",M35,",",N35,",",O35,",",P35,";")</f>
        <v>31. Источник,1,255,1,100,0;</v>
      </c>
      <c r="AK35" s="2" t="str">
        <f t="shared" ca="1" si="14"/>
        <v>31.Источник</v>
      </c>
      <c r="AL35" s="29" t="s">
        <v>434</v>
      </c>
      <c r="AM35" s="2"/>
      <c r="AN35" s="17"/>
      <c r="AO35" s="2"/>
      <c r="AP35" s="2"/>
      <c r="AQ35" s="2"/>
      <c r="AR35" s="2"/>
      <c r="AS35" s="16"/>
      <c r="AT35" s="2"/>
      <c r="AU35" s="2"/>
      <c r="AV35" s="18"/>
      <c r="AW35" s="18"/>
      <c r="AX35" s="18"/>
      <c r="AY35" s="18"/>
      <c r="AZ35" s="18"/>
      <c r="BA35" s="18"/>
      <c r="BB35" s="18"/>
      <c r="BC35" s="18"/>
      <c r="BD35" s="18"/>
    </row>
    <row r="36" spans="1:56">
      <c r="A36" s="33">
        <f t="shared" ca="1" si="60"/>
        <v>32</v>
      </c>
      <c r="B36" s="38" t="s">
        <v>388</v>
      </c>
      <c r="C36" s="51" t="s">
        <v>389</v>
      </c>
      <c r="H36" s="38">
        <v>10</v>
      </c>
      <c r="I36" s="38">
        <v>200</v>
      </c>
      <c r="J36" s="38">
        <v>55</v>
      </c>
      <c r="L36" s="38">
        <v>150</v>
      </c>
      <c r="M36" s="38">
        <v>240</v>
      </c>
      <c r="N36" s="38">
        <v>1</v>
      </c>
      <c r="O36" s="38">
        <v>100</v>
      </c>
      <c r="P36" s="38">
        <v>1</v>
      </c>
      <c r="Q36" s="38" t="s">
        <v>39</v>
      </c>
      <c r="R36" s="38" t="s">
        <v>390</v>
      </c>
      <c r="S36" s="38">
        <v>2</v>
      </c>
      <c r="T36" s="38">
        <f ca="1">MAX(OFFSET(T36,-4,0,4,1))+1</f>
        <v>32</v>
      </c>
      <c r="V36" s="2" t="str">
        <f ca="1">CONCATENATE("#define EFF_",B36,REPT(" ",20-LEN(B36)),"(",REPT(" ",3-LEN(T36)),T36,"U)    // ",C36)</f>
        <v>#define EFF_DROP_IN_WATER       ( 32U)    // Капли на воде</v>
      </c>
      <c r="W36" s="2" t="str">
        <f ca="1">CONCATENATE("String(""",A36,". ",C36,",",L36,",",M36,",",N36,",",O36,",",P36,";"") +")</f>
        <v>String("32. Капли на воде,150,240,1,100,1;") +</v>
      </c>
      <c r="X36" s="2" t="str">
        <f ca="1">CONCATENATE("String(""",A36,". ",D36,",",L36,",",M36,",",N36,",",O36,",",P36,";"") +")</f>
        <v>String("32. ,150,240,1,100,1;") +</v>
      </c>
      <c r="Y36" s="2" t="str">
        <f ca="1">CONCATENATE("String(""",A36,". ",E36,",",L36,",",M36,",",N36,",",O36,",",P36,";"") +")</f>
        <v>String("32. ,150,240,1,100,1;") +</v>
      </c>
      <c r="Z36" s="2" t="str">
        <f t="shared" ca="1" si="11"/>
        <v>32;10;200;55;Капли на воде</v>
      </c>
      <c r="AA36" s="2" t="str">
        <f ca="1">CONCATENATE("        case EFF_",B36,":",REPT(" ",20-LEN(B36)),Q36," { effTimer = millis(); ",R36,REPT(" ",30-LEN(R36)),"Eff_Tick (); }","  break;  // (",REPT(" ",3-LEN(T36)),T36,"U) ",C36)</f>
        <v xml:space="preserve">        case EFF_DROP_IN_WATER:       DYNAMIC_DELAY_TICK { effTimer = millis(); DropInWater();                Eff_Tick (); }  break;  // ( 32U) Капли на воде</v>
      </c>
      <c r="AB36" s="2" t="str">
        <f ca="1">CONCATENATE("{""name"":""",A36,". ",C36,""",""spmin"":",L36,",""spmax"":",M36,",""scmin"":",N36,",""scmax"":",O36,",""type"":",P36,"},")</f>
        <v>{"name":"32. Капли на воде","spmin":150,"spmax":240,"scmin":1,"scmax":100,"type":1},</v>
      </c>
      <c r="AC36" s="4" t="str">
        <f ca="1">CONCATENATE("""","e",T36,"""",":0,")</f>
        <v>"e32":0,</v>
      </c>
      <c r="AD36" s="4" t="str">
        <f ca="1">CONCATENATE("e",T36,"=[[e",T36,"]]&amp;")</f>
        <v>e32=[[e32]]&amp;</v>
      </c>
      <c r="AE36" s="4" t="str">
        <f ca="1">CONCATENATE("""","e",T36,"""",":",S36,",")</f>
        <v>"e32":2,</v>
      </c>
      <c r="AF36" s="2" t="str">
        <f t="shared" ca="1" si="61"/>
        <v>{"type":"checkbox","class":"checkbox-big","name":"e32","title":"32. Капли на воде","style":"font-size:16px;display:block","state":"{{e32}}"},</v>
      </c>
      <c r="AG36" s="2" t="str">
        <f t="shared" ca="1" si="59"/>
        <v>{"type":"h4","title":"32. Капли на воде","style":"font-size:14px;width:85%;float:left"},{"type":"input","title":"папка","name":"e32","state":"{{e32}}","pattern":"[0-9]{1,2}","style":"background: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6" s="2" t="str">
        <f ca="1">CONCATENATE("""",A36,"""",": """,A36,".",C36,""",")</f>
        <v>"32": "32.Капли на воде",</v>
      </c>
      <c r="AI36" s="16"/>
      <c r="AJ36" s="2" t="str">
        <f ca="1">CONCATENATE(A36,". ",C36,",",L36,",",M36,",",N36,",",O36,",",P36,";")</f>
        <v>32. Капли на воде,150,240,1,100,1;</v>
      </c>
      <c r="AK36" s="2" t="str">
        <f t="shared" ca="1" si="14"/>
        <v>32.Капли на воде</v>
      </c>
      <c r="AL36" s="29" t="s">
        <v>434</v>
      </c>
    </row>
    <row r="37" spans="1:56" ht="14.25" customHeight="1">
      <c r="A37" s="33">
        <f t="shared" ref="A37:A45" ca="1" si="62">MAX(OFFSET(A37,-4,0,4,1))+1</f>
        <v>33</v>
      </c>
      <c r="B37" s="38" t="s">
        <v>106</v>
      </c>
      <c r="C37" s="38" t="s">
        <v>107</v>
      </c>
      <c r="H37" s="38">
        <v>10</v>
      </c>
      <c r="I37" s="38">
        <v>40</v>
      </c>
      <c r="J37" s="38">
        <v>59</v>
      </c>
      <c r="L37" s="38">
        <v>1</v>
      </c>
      <c r="M37" s="38">
        <v>255</v>
      </c>
      <c r="N37" s="38">
        <v>1</v>
      </c>
      <c r="O37" s="38">
        <v>100</v>
      </c>
      <c r="P37" s="38">
        <v>1</v>
      </c>
      <c r="Q37" s="38" t="s">
        <v>76</v>
      </c>
      <c r="R37" s="38" t="s">
        <v>108</v>
      </c>
      <c r="S37" s="38">
        <v>2</v>
      </c>
      <c r="T37" s="38">
        <f t="shared" ref="T37:T45" ca="1" si="63">MAX(OFFSET(T37,-4,0,4,1))+1</f>
        <v>33</v>
      </c>
      <c r="U37" s="15"/>
      <c r="V37" s="2" t="str">
        <f t="shared" ref="V37:V45" ca="1" si="64">CONCATENATE("#define EFF_",B37,REPT(" ",20-LEN(B37)),"(",REPT(" ",3-LEN(T37)),T37,"U)    // ",C37)</f>
        <v>#define EFF_DROPS               ( 33U)    // Капли на стекле</v>
      </c>
      <c r="W37" s="2" t="str">
        <f t="shared" ref="W37:W45" ca="1" si="65">CONCATENATE("String(""",A37,". ",C37,",",L37,",",M37,",",N37,",",O37,",",P37,";"") +")</f>
        <v>String("33. Капли на стекле,1,255,1,100,1;") +</v>
      </c>
      <c r="X37" s="2" t="str">
        <f t="shared" ref="X37:X45" ca="1" si="66">CONCATENATE("String(""",A37,". ",D37,",",L37,",",M37,",",N37,",",O37,",",P37,";"") +")</f>
        <v>String("33. ,1,255,1,100,1;") +</v>
      </c>
      <c r="Y37" s="2" t="str">
        <f t="shared" ref="Y37:Y45" ca="1" si="67">CONCATENATE("String(""",A37,". ",E37,",",L37,",",M37,",",N37,",",O37,",",P37,";"") +")</f>
        <v>String("33. ,1,255,1,100,1;") +</v>
      </c>
      <c r="Z37" s="2" t="str">
        <f t="shared" ca="1" si="11"/>
        <v>33;10;40;59;Капли на стекле</v>
      </c>
      <c r="AA37" s="2" t="str">
        <f t="shared" ref="AA37:AA45" ca="1" si="68">CONCATENATE("        case EFF_",B37,":",REPT(" ",20-LEN(B37)),Q37," { effTimer = millis(); ",R37,REPT(" ",30-LEN(R37)),"Eff_Tick (); }","  break;  // (",REPT(" ",3-LEN(T37)),T37,"U) ",C37)</f>
        <v xml:space="preserve">        case EFF_DROPS:               LOW_DELAY_TICK { effTimer = millis(); newMatrixRoutine();           Eff_Tick (); }  break;  // ( 33U) Капли на стекле</v>
      </c>
      <c r="AB37" s="2" t="str">
        <f t="shared" ref="AB37:AB43" ca="1" si="69">CONCATENATE("{""name"":""",A37,". ",C37,""",""spmin"":",L37,",""spmax"":",M37,",""scmin"":",N37,",""scmax"":",O37,",""type"":",P37,"},")</f>
        <v>{"name":"33. Капли на стекле","spmin":1,"spmax":255,"scmin":1,"scmax":100,"type":1},</v>
      </c>
      <c r="AC37" s="4" t="str">
        <f t="shared" ref="AC37:AC45" ca="1" si="70">CONCATENATE("""","e",T37,"""",":0,")</f>
        <v>"e33":0,</v>
      </c>
      <c r="AD37" s="4" t="str">
        <f t="shared" ref="AD37:AD45" ca="1" si="71">CONCATENATE("e",T37,"=[[e",T37,"]]&amp;")</f>
        <v>e33=[[e33]]&amp;</v>
      </c>
      <c r="AE37" s="4" t="str">
        <f t="shared" ref="AE37:AE45" ca="1" si="72">CONCATENATE("""","e",T37,"""",":",S37,",")</f>
        <v>"e33":2,</v>
      </c>
      <c r="AF37" s="2" t="str">
        <f t="shared" ca="1" si="61"/>
        <v>{"type":"checkbox","class":"checkbox-big","name":"e33","title":"33. Капли на стекле","style":"font-size:16px;display:block","state":"{{e33}}"},</v>
      </c>
      <c r="AG37" s="2" t="str">
        <f t="shared" ca="1" si="59"/>
        <v>{"type":"h4","title":"33. Капли на стекле","style":"font-size:14px;width:85%;float:left"},{"type":"input","title":"папка","name":"e33","state":"{{e33}}","pattern":"[0-9]{1,2}","style":"background: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7" s="2" t="str">
        <f t="shared" ref="AH37:AH45" ca="1" si="73">CONCATENATE("""",A37,"""",": """,A37,".",C37,""",")</f>
        <v>"33": "33.Капли на стекле",</v>
      </c>
      <c r="AI37" s="16"/>
      <c r="AJ37" s="2" t="str">
        <f t="shared" ref="AJ37:AJ45" ca="1" si="74">CONCATENATE(A37,". ",C37,",",L37,",",M37,",",N37,",",O37,",",P37,";")</f>
        <v>33. Капли на стекле,1,255,1,100,1;</v>
      </c>
      <c r="AK37" s="2" t="str">
        <f t="shared" ca="1" si="14"/>
        <v>33.Капли на стекле</v>
      </c>
      <c r="AL37" s="29" t="s">
        <v>434</v>
      </c>
      <c r="AM37" s="2"/>
      <c r="AN37" s="17"/>
      <c r="AO37" s="2"/>
      <c r="AP37" s="2"/>
      <c r="AQ37" s="2"/>
      <c r="AR37" s="2"/>
      <c r="AS37" s="16"/>
      <c r="AT37" s="2"/>
      <c r="AU37" s="2"/>
      <c r="AV37" s="18"/>
      <c r="AW37" s="18"/>
      <c r="AX37" s="18"/>
      <c r="AY37" s="18"/>
      <c r="AZ37" s="18"/>
      <c r="BA37" s="18"/>
      <c r="BB37" s="18"/>
      <c r="BC37" s="18"/>
      <c r="BD37" s="18"/>
    </row>
    <row r="38" spans="1:56" ht="14.25" customHeight="1">
      <c r="A38" s="33">
        <f t="shared" ca="1" si="62"/>
        <v>34</v>
      </c>
      <c r="B38" s="38" t="s">
        <v>109</v>
      </c>
      <c r="C38" s="38" t="s">
        <v>110</v>
      </c>
      <c r="H38" s="38">
        <v>8</v>
      </c>
      <c r="I38" s="38">
        <v>240</v>
      </c>
      <c r="J38" s="38">
        <v>18</v>
      </c>
      <c r="L38" s="38">
        <v>170</v>
      </c>
      <c r="M38" s="38">
        <v>255</v>
      </c>
      <c r="N38" s="38">
        <v>1</v>
      </c>
      <c r="O38" s="38">
        <v>100</v>
      </c>
      <c r="P38" s="38">
        <v>0</v>
      </c>
      <c r="Q38" s="38" t="s">
        <v>39</v>
      </c>
      <c r="R38" s="38" t="s">
        <v>111</v>
      </c>
      <c r="S38" s="38">
        <v>2</v>
      </c>
      <c r="T38" s="38">
        <f t="shared" ca="1" si="63"/>
        <v>34</v>
      </c>
      <c r="U38" s="15"/>
      <c r="V38" s="2" t="str">
        <f t="shared" ca="1" si="64"/>
        <v>#define EFF_LLAND               ( 34U)    // Кипение</v>
      </c>
      <c r="W38" s="2" t="str">
        <f t="shared" ca="1" si="65"/>
        <v>String("34. Кипение,170,255,1,100,0;") +</v>
      </c>
      <c r="X38" s="2" t="str">
        <f t="shared" ca="1" si="66"/>
        <v>String("34. ,170,255,1,100,0;") +</v>
      </c>
      <c r="Y38" s="2" t="str">
        <f t="shared" ca="1" si="67"/>
        <v>String("34. ,170,255,1,100,0;") +</v>
      </c>
      <c r="Z38" s="2" t="str">
        <f t="shared" ca="1" si="11"/>
        <v>34;8;240;18;Кипение</v>
      </c>
      <c r="AA38" s="2" t="str">
        <f t="shared" ca="1" si="68"/>
        <v xml:space="preserve">        case EFF_LLAND:               DYNAMIC_DELAY_TICK { effTimer = millis(); LLandRoutine();               Eff_Tick (); }  break;  // ( 34U) Кипение</v>
      </c>
      <c r="AB38" s="2" t="str">
        <f t="shared" ca="1" si="69"/>
        <v>{"name":"34. Кипение","spmin":170,"spmax":255,"scmin":1,"scmax":100,"type":0},</v>
      </c>
      <c r="AC38" s="4" t="str">
        <f t="shared" ca="1" si="70"/>
        <v>"e34":0,</v>
      </c>
      <c r="AD38" s="4" t="str">
        <f t="shared" ca="1" si="71"/>
        <v>e34=[[e34]]&amp;</v>
      </c>
      <c r="AE38" s="4" t="str">
        <f t="shared" ca="1" si="72"/>
        <v>"e34":2,</v>
      </c>
      <c r="AF38" s="2" t="str">
        <f t="shared" ca="1" si="61"/>
        <v>{"type":"checkbox","class":"checkbox-big","name":"e34","title":"34. Кипение","style":"font-size:16px;display:block","state":"{{e34}}"},</v>
      </c>
      <c r="AG38" s="2" t="str">
        <f t="shared" ca="1" si="59"/>
        <v>{"type":"h4","title":"34. Кипение","style":"font-size:14px;width:85%;float:left"},{"type":"input","title":"папка","name":"e34","state":"{{e34}}","pattern":"[0-9]{1,2}","style":"background: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8" s="2" t="str">
        <f t="shared" ca="1" si="73"/>
        <v>"34": "34.Кипение",</v>
      </c>
      <c r="AI38" s="16"/>
      <c r="AJ38" s="2" t="str">
        <f t="shared" ca="1" si="74"/>
        <v>34. Кипение,170,255,1,100,0;</v>
      </c>
      <c r="AK38" s="2" t="str">
        <f t="shared" ca="1" si="14"/>
        <v>34.Кипение</v>
      </c>
      <c r="AL38" s="29" t="s">
        <v>434</v>
      </c>
      <c r="AM38" s="2"/>
      <c r="AN38" s="17"/>
      <c r="AO38" s="2"/>
      <c r="AP38" s="2"/>
      <c r="AQ38" s="2"/>
      <c r="AR38" s="2"/>
      <c r="AS38" s="16"/>
      <c r="AT38" s="2"/>
      <c r="AU38" s="2"/>
      <c r="AV38" s="18"/>
      <c r="AW38" s="18"/>
      <c r="AX38" s="18"/>
      <c r="AY38" s="18"/>
      <c r="AZ38" s="18"/>
      <c r="BA38" s="18"/>
      <c r="BB38" s="18"/>
      <c r="BC38" s="18"/>
      <c r="BD38" s="18"/>
    </row>
    <row r="39" spans="1:56" ht="14.25" customHeight="1">
      <c r="A39" s="33">
        <f t="shared" ca="1" si="62"/>
        <v>35</v>
      </c>
      <c r="B39" s="38" t="s">
        <v>112</v>
      </c>
      <c r="C39" s="38" t="s">
        <v>113</v>
      </c>
      <c r="H39" s="38">
        <v>15</v>
      </c>
      <c r="I39" s="38">
        <v>205</v>
      </c>
      <c r="J39" s="38">
        <v>91</v>
      </c>
      <c r="L39" s="38">
        <v>99</v>
      </c>
      <c r="M39" s="38">
        <v>255</v>
      </c>
      <c r="N39" s="38">
        <v>1</v>
      </c>
      <c r="O39" s="38">
        <v>100</v>
      </c>
      <c r="P39" s="38">
        <v>0</v>
      </c>
      <c r="Q39" s="38" t="s">
        <v>39</v>
      </c>
      <c r="R39" s="38" t="s">
        <v>114</v>
      </c>
      <c r="S39" s="38">
        <v>2</v>
      </c>
      <c r="T39" s="38">
        <f t="shared" ca="1" si="63"/>
        <v>35</v>
      </c>
      <c r="U39" s="15"/>
      <c r="V39" s="2" t="str">
        <f t="shared" ca="1" si="64"/>
        <v>#define EFF_RINGS               ( 35U)    // Кодовый замок</v>
      </c>
      <c r="W39" s="2" t="str">
        <f t="shared" ca="1" si="65"/>
        <v>String("35. Кодовый замок,99,255,1,100,0;") +</v>
      </c>
      <c r="X39" s="2" t="str">
        <f t="shared" ca="1" si="66"/>
        <v>String("35. ,99,255,1,100,0;") +</v>
      </c>
      <c r="Y39" s="2" t="str">
        <f t="shared" ca="1" si="67"/>
        <v>String("35. ,99,255,1,100,0;") +</v>
      </c>
      <c r="Z39" s="2" t="str">
        <f t="shared" ca="1" si="11"/>
        <v>35;15;205;91;Кодовый замок</v>
      </c>
      <c r="AA39" s="2" t="str">
        <f t="shared" ca="1" si="68"/>
        <v xml:space="preserve">        case EFF_RINGS:               DYNAMIC_DELAY_TICK { effTimer = millis(); ringsRoutine();               Eff_Tick (); }  break;  // ( 35U) Кодовый замок</v>
      </c>
      <c r="AB39" s="2" t="str">
        <f t="shared" ca="1" si="69"/>
        <v>{"name":"35. Кодовый замок","spmin":99,"spmax":255,"scmin":1,"scmax":100,"type":0},</v>
      </c>
      <c r="AC39" s="4" t="str">
        <f t="shared" ca="1" si="70"/>
        <v>"e35":0,</v>
      </c>
      <c r="AD39" s="4" t="str">
        <f t="shared" ca="1" si="71"/>
        <v>e35=[[e35]]&amp;</v>
      </c>
      <c r="AE39" s="4" t="str">
        <f t="shared" ca="1" si="72"/>
        <v>"e35":2,</v>
      </c>
      <c r="AF39" s="2" t="str">
        <f t="shared" ca="1" si="61"/>
        <v>{"type":"checkbox","class":"checkbox-big","name":"e35","title":"35. Кодовый замок","style":"font-size:16px;display:block","state":"{{e35}}"},</v>
      </c>
      <c r="AG39" s="2" t="str">
        <f t="shared" ca="1" si="59"/>
        <v>{"type":"h4","title":"35. Кодовый замок","style":"font-size:14px;width:85%;float:left"},{"type":"input","title":"папка","name":"e35","state":"{{e35}}","pattern":"[0-9]{1,2}","style":"background: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39" s="2" t="str">
        <f t="shared" ca="1" si="73"/>
        <v>"35": "35.Кодовый замок",</v>
      </c>
      <c r="AI39" s="16"/>
      <c r="AJ39" s="2" t="str">
        <f t="shared" ca="1" si="74"/>
        <v>35. Кодовый замок,99,255,1,100,0;</v>
      </c>
      <c r="AK39" s="2" t="str">
        <f t="shared" ca="1" si="14"/>
        <v>35.Кодовый замок</v>
      </c>
      <c r="AL39" s="29" t="s">
        <v>434</v>
      </c>
      <c r="AM39" s="2"/>
      <c r="AN39" s="17"/>
      <c r="AO39" s="2"/>
      <c r="AP39" s="2"/>
      <c r="AQ39" s="2"/>
      <c r="AR39" s="2"/>
      <c r="AS39" s="16"/>
      <c r="AT39" s="2"/>
      <c r="AU39" s="2"/>
      <c r="AV39" s="18"/>
      <c r="AW39" s="18"/>
      <c r="AX39" s="18"/>
      <c r="AY39" s="18"/>
      <c r="AZ39" s="18"/>
      <c r="BA39" s="18"/>
      <c r="BB39" s="18"/>
      <c r="BC39" s="18"/>
      <c r="BD39" s="18"/>
    </row>
    <row r="40" spans="1:56" ht="14.25" customHeight="1">
      <c r="A40" s="33">
        <f t="shared" ca="1" si="62"/>
        <v>36</v>
      </c>
      <c r="B40" s="38" t="s">
        <v>115</v>
      </c>
      <c r="C40" s="38" t="s">
        <v>116</v>
      </c>
      <c r="H40" s="38">
        <v>10</v>
      </c>
      <c r="I40" s="38">
        <v>205</v>
      </c>
      <c r="J40" s="38">
        <v>28</v>
      </c>
      <c r="L40" s="38">
        <v>99</v>
      </c>
      <c r="M40" s="38">
        <v>255</v>
      </c>
      <c r="N40" s="38">
        <v>1</v>
      </c>
      <c r="O40" s="38">
        <v>100</v>
      </c>
      <c r="P40" s="38">
        <v>0</v>
      </c>
      <c r="Q40" s="38" t="s">
        <v>39</v>
      </c>
      <c r="R40" s="38" t="s">
        <v>117</v>
      </c>
      <c r="S40" s="38">
        <v>2</v>
      </c>
      <c r="T40" s="38">
        <f t="shared" ca="1" si="63"/>
        <v>36</v>
      </c>
      <c r="U40" s="15"/>
      <c r="V40" s="2" t="str">
        <f t="shared" ca="1" si="64"/>
        <v>#define EFF_COMET               ( 36U)    // Комета</v>
      </c>
      <c r="W40" s="2" t="str">
        <f t="shared" ca="1" si="65"/>
        <v>String("36. Комета,99,255,1,100,0;") +</v>
      </c>
      <c r="X40" s="2" t="str">
        <f t="shared" ca="1" si="66"/>
        <v>String("36. ,99,255,1,100,0;") +</v>
      </c>
      <c r="Y40" s="2" t="str">
        <f t="shared" ca="1" si="67"/>
        <v>String("36. ,99,255,1,100,0;") +</v>
      </c>
      <c r="Z40" s="2" t="str">
        <f t="shared" ca="1" si="11"/>
        <v>36;10;205;28;Комета</v>
      </c>
      <c r="AA40" s="2" t="str">
        <f t="shared" ca="1" si="68"/>
        <v xml:space="preserve">        case EFF_COMET:               DYNAMIC_DELAY_TICK { effTimer = millis(); RainbowCometRoutine();        Eff_Tick (); }  break;  // ( 36U) Комета</v>
      </c>
      <c r="AB40" s="2" t="str">
        <f t="shared" ca="1" si="69"/>
        <v>{"name":"36. Комета","spmin":99,"spmax":255,"scmin":1,"scmax":100,"type":0},</v>
      </c>
      <c r="AC40" s="4" t="str">
        <f t="shared" ca="1" si="70"/>
        <v>"e36":0,</v>
      </c>
      <c r="AD40" s="4" t="str">
        <f t="shared" ca="1" si="71"/>
        <v>e36=[[e36]]&amp;</v>
      </c>
      <c r="AE40" s="4" t="str">
        <f t="shared" ca="1" si="72"/>
        <v>"e36":2,</v>
      </c>
      <c r="AF40" s="2" t="str">
        <f t="shared" ca="1" si="61"/>
        <v>{"type":"checkbox","class":"checkbox-big","name":"e36","title":"36. Комета","style":"font-size:16px;display:block","state":"{{e36}}"},</v>
      </c>
      <c r="AG40" s="2" t="str">
        <f t="shared" ca="1" si="59"/>
        <v>{"type":"h4","title":"36. Комета","style":"font-size:14px;width:85%;float:left"},{"type":"input","title":"папка","name":"e36","state":"{{e36}}","pattern":"[0-9]{1,2}","style":"background: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0" s="2" t="str">
        <f t="shared" ca="1" si="73"/>
        <v>"36": "36.Комета",</v>
      </c>
      <c r="AI40" s="16"/>
      <c r="AJ40" s="2" t="str">
        <f t="shared" ca="1" si="74"/>
        <v>36. Комета,99,255,1,100,0;</v>
      </c>
      <c r="AK40" s="2" t="str">
        <f t="shared" ca="1" si="14"/>
        <v>36.Комета</v>
      </c>
      <c r="AL40" s="29" t="s">
        <v>434</v>
      </c>
      <c r="AM40" s="2"/>
      <c r="AN40" s="17"/>
      <c r="AO40" s="2"/>
      <c r="AP40" s="2"/>
      <c r="AQ40" s="2"/>
      <c r="AR40" s="2"/>
      <c r="AS40" s="16"/>
      <c r="AT40" s="2"/>
      <c r="AU40" s="2"/>
      <c r="AV40" s="18"/>
      <c r="AW40" s="18"/>
      <c r="AX40" s="18"/>
      <c r="AY40" s="18"/>
      <c r="AZ40" s="18"/>
      <c r="BA40" s="18"/>
      <c r="BB40" s="18"/>
      <c r="BC40" s="18"/>
      <c r="BD40" s="18"/>
    </row>
    <row r="41" spans="1:56" ht="14.25" customHeight="1">
      <c r="A41" s="33">
        <f t="shared" ca="1" si="62"/>
        <v>37</v>
      </c>
      <c r="B41" s="38" t="s">
        <v>118</v>
      </c>
      <c r="C41" s="38" t="s">
        <v>119</v>
      </c>
      <c r="H41" s="38">
        <v>10</v>
      </c>
      <c r="I41" s="38">
        <v>212</v>
      </c>
      <c r="J41" s="38">
        <v>69</v>
      </c>
      <c r="L41" s="38">
        <v>99</v>
      </c>
      <c r="M41" s="38">
        <v>255</v>
      </c>
      <c r="N41" s="38">
        <v>1</v>
      </c>
      <c r="O41" s="38">
        <v>100</v>
      </c>
      <c r="P41" s="38">
        <v>1</v>
      </c>
      <c r="Q41" s="38" t="s">
        <v>39</v>
      </c>
      <c r="R41" s="38" t="s">
        <v>120</v>
      </c>
      <c r="S41" s="38">
        <v>2</v>
      </c>
      <c r="T41" s="38">
        <f t="shared" ca="1" si="63"/>
        <v>37</v>
      </c>
      <c r="U41" s="15"/>
      <c r="V41" s="2" t="str">
        <f t="shared" ca="1" si="64"/>
        <v>#define EFF_COMET_COLOR         ( 37U)    // Комета одноцветная</v>
      </c>
      <c r="W41" s="2" t="str">
        <f t="shared" ca="1" si="65"/>
        <v>String("37. Комета одноцветная,99,255,1,100,1;") +</v>
      </c>
      <c r="X41" s="2" t="str">
        <f t="shared" ca="1" si="66"/>
        <v>String("37. ,99,255,1,100,1;") +</v>
      </c>
      <c r="Y41" s="2" t="str">
        <f t="shared" ca="1" si="67"/>
        <v>String("37. ,99,255,1,100,1;") +</v>
      </c>
      <c r="Z41" s="2" t="str">
        <f t="shared" ca="1" si="11"/>
        <v>37;10;212;69;Комета одноцветная</v>
      </c>
      <c r="AA41" s="2" t="str">
        <f t="shared" ca="1" si="68"/>
        <v xml:space="preserve">        case EFF_COMET_COLOR:         DYNAMIC_DELAY_TICK { effTimer = millis(); ColorCometRoutine();          Eff_Tick (); }  break;  // ( 37U) Комета одноцветная</v>
      </c>
      <c r="AB41" s="2" t="str">
        <f t="shared" ca="1" si="69"/>
        <v>{"name":"37. Комета одноцветная","spmin":99,"spmax":255,"scmin":1,"scmax":100,"type":1},</v>
      </c>
      <c r="AC41" s="4" t="str">
        <f t="shared" ca="1" si="70"/>
        <v>"e37":0,</v>
      </c>
      <c r="AD41" s="4" t="str">
        <f t="shared" ca="1" si="71"/>
        <v>e37=[[e37]]&amp;</v>
      </c>
      <c r="AE41" s="4" t="str">
        <f t="shared" ca="1" si="72"/>
        <v>"e37":2,</v>
      </c>
      <c r="AF41" s="2" t="str">
        <f t="shared" ca="1" si="61"/>
        <v>{"type":"checkbox","class":"checkbox-big","name":"e37","title":"37. Комета одноцветная","style":"font-size:16px;display:block","state":"{{e37}}"},</v>
      </c>
      <c r="AG41" s="2" t="str">
        <f t="shared" ca="1" si="59"/>
        <v>{"type":"h4","title":"37. Комета одноцветная","style":"font-size:14px;width:85%;float:left"},{"type":"input","title":"папка","name":"e37","state":"{{e37}}","pattern":"[0-9]{1,2}","style":"background: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1" s="2" t="str">
        <f t="shared" ca="1" si="73"/>
        <v>"37": "37.Комета одноцветная",</v>
      </c>
      <c r="AI41" s="16"/>
      <c r="AJ41" s="2" t="str">
        <f t="shared" ca="1" si="74"/>
        <v>37. Комета одноцветная,99,255,1,100,1;</v>
      </c>
      <c r="AK41" s="2" t="str">
        <f t="shared" ca="1" si="14"/>
        <v>37.Комета одноцветная</v>
      </c>
      <c r="AL41" s="29" t="s">
        <v>434</v>
      </c>
      <c r="AM41" s="2"/>
      <c r="AN41" s="17"/>
      <c r="AO41" s="2"/>
      <c r="AP41" s="2"/>
      <c r="AQ41" s="2"/>
      <c r="AR41" s="2"/>
      <c r="AS41" s="16"/>
      <c r="AT41" s="2"/>
      <c r="AU41" s="2"/>
      <c r="AV41" s="18"/>
      <c r="AW41" s="18"/>
      <c r="AX41" s="18"/>
      <c r="AY41" s="18"/>
      <c r="AZ41" s="18"/>
      <c r="BA41" s="18"/>
      <c r="BB41" s="18"/>
      <c r="BC41" s="18"/>
      <c r="BD41" s="18"/>
    </row>
    <row r="42" spans="1:56" ht="14.25" customHeight="1">
      <c r="A42" s="33">
        <f t="shared" ca="1" si="62"/>
        <v>38</v>
      </c>
      <c r="B42" s="38" t="s">
        <v>121</v>
      </c>
      <c r="C42" s="38" t="s">
        <v>122</v>
      </c>
      <c r="H42" s="38">
        <v>12</v>
      </c>
      <c r="I42" s="38">
        <v>186</v>
      </c>
      <c r="J42" s="38">
        <v>19</v>
      </c>
      <c r="L42" s="38">
        <v>99</v>
      </c>
      <c r="M42" s="38">
        <v>255</v>
      </c>
      <c r="N42" s="38">
        <v>1</v>
      </c>
      <c r="O42" s="38">
        <v>100</v>
      </c>
      <c r="P42" s="38">
        <v>0</v>
      </c>
      <c r="Q42" s="38" t="s">
        <v>39</v>
      </c>
      <c r="R42" s="38" t="s">
        <v>123</v>
      </c>
      <c r="S42" s="38">
        <v>2</v>
      </c>
      <c r="T42" s="38">
        <f t="shared" ca="1" si="63"/>
        <v>38</v>
      </c>
      <c r="U42" s="15"/>
      <c r="V42" s="2" t="str">
        <f t="shared" ca="1" si="64"/>
        <v>#define EFF_COMET_TWO           ( 38U)    // Комета двойная</v>
      </c>
      <c r="W42" s="2" t="str">
        <f t="shared" ca="1" si="65"/>
        <v>String("38. Комета двойная,99,255,1,100,0;") +</v>
      </c>
      <c r="X42" s="2" t="str">
        <f t="shared" ca="1" si="66"/>
        <v>String("38. ,99,255,1,100,0;") +</v>
      </c>
      <c r="Y42" s="2" t="str">
        <f t="shared" ca="1" si="67"/>
        <v>String("38. ,99,255,1,100,0;") +</v>
      </c>
      <c r="Z42" s="2" t="str">
        <f t="shared" ca="1" si="11"/>
        <v>38;12;186;19;Комета двойная</v>
      </c>
      <c r="AA42" s="2" t="str">
        <f t="shared" ca="1" si="68"/>
        <v xml:space="preserve">        case EFF_COMET_TWO:           DYNAMIC_DELAY_TICK { effTimer = millis(); MultipleStream();             Eff_Tick (); }  break;  // ( 38U) Комета двойная</v>
      </c>
      <c r="AB42" s="2" t="str">
        <f t="shared" ca="1" si="69"/>
        <v>{"name":"38. Комета двойная","spmin":99,"spmax":255,"scmin":1,"scmax":100,"type":0},</v>
      </c>
      <c r="AC42" s="4" t="str">
        <f t="shared" ca="1" si="70"/>
        <v>"e38":0,</v>
      </c>
      <c r="AD42" s="4" t="str">
        <f t="shared" ca="1" si="71"/>
        <v>e38=[[e38]]&amp;</v>
      </c>
      <c r="AE42" s="4" t="str">
        <f t="shared" ca="1" si="72"/>
        <v>"e38":2,</v>
      </c>
      <c r="AF42" s="2" t="str">
        <f t="shared" ca="1" si="61"/>
        <v>{"type":"checkbox","class":"checkbox-big","name":"e38","title":"38. Комета двойная","style":"font-size:16px;display:block","state":"{{e38}}"},</v>
      </c>
      <c r="AG42" s="2" t="str">
        <f t="shared" ca="1" si="59"/>
        <v>{"type":"h4","title":"38. Комета двойная","style":"font-size:14px;width:85%;float:left"},{"type":"input","title":"папка","name":"e38","state":"{{e38}}","pattern":"[0-9]{1,2}","style":"background: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2" s="2" t="str">
        <f t="shared" ca="1" si="73"/>
        <v>"38": "38.Комета двойная",</v>
      </c>
      <c r="AI42" s="16"/>
      <c r="AJ42" s="2" t="str">
        <f t="shared" ca="1" si="74"/>
        <v>38. Комета двойная,99,255,1,100,0;</v>
      </c>
      <c r="AK42" s="2" t="str">
        <f t="shared" ca="1" si="14"/>
        <v>38.Комета двойная</v>
      </c>
      <c r="AL42" s="29" t="s">
        <v>434</v>
      </c>
      <c r="AM42" s="2"/>
      <c r="AN42" s="17"/>
      <c r="AO42" s="2"/>
      <c r="AP42" s="2"/>
      <c r="AQ42" s="2"/>
      <c r="AR42" s="2"/>
      <c r="AS42" s="16"/>
      <c r="AT42" s="2"/>
      <c r="AU42" s="2"/>
      <c r="AV42" s="18"/>
      <c r="AW42" s="18"/>
      <c r="AX42" s="18"/>
      <c r="AY42" s="18"/>
      <c r="AZ42" s="18"/>
      <c r="BA42" s="18"/>
      <c r="BB42" s="18"/>
      <c r="BC42" s="18"/>
      <c r="BD42" s="18"/>
    </row>
    <row r="43" spans="1:56" ht="14.25" customHeight="1">
      <c r="A43" s="33">
        <f t="shared" ca="1" si="62"/>
        <v>39</v>
      </c>
      <c r="B43" s="38" t="s">
        <v>124</v>
      </c>
      <c r="C43" s="38" t="s">
        <v>125</v>
      </c>
      <c r="H43" s="38">
        <v>12</v>
      </c>
      <c r="I43" s="38">
        <v>186</v>
      </c>
      <c r="J43" s="38">
        <v>9</v>
      </c>
      <c r="L43" s="38">
        <v>99</v>
      </c>
      <c r="M43" s="38">
        <v>255</v>
      </c>
      <c r="N43" s="38">
        <v>1</v>
      </c>
      <c r="O43" s="38">
        <v>100</v>
      </c>
      <c r="P43" s="38">
        <v>0</v>
      </c>
      <c r="Q43" s="38" t="s">
        <v>39</v>
      </c>
      <c r="R43" s="38" t="s">
        <v>126</v>
      </c>
      <c r="S43" s="38">
        <v>2</v>
      </c>
      <c r="T43" s="38">
        <f t="shared" ca="1" si="63"/>
        <v>39</v>
      </c>
      <c r="U43" s="15"/>
      <c r="V43" s="2" t="str">
        <f t="shared" ca="1" si="64"/>
        <v>#define EFF_COMET_THREE         ( 39U)    // Комета тройная</v>
      </c>
      <c r="W43" s="2" t="str">
        <f t="shared" ca="1" si="65"/>
        <v>String("39. Комета тройная,99,255,1,100,0;") +</v>
      </c>
      <c r="X43" s="2" t="str">
        <f t="shared" ca="1" si="66"/>
        <v>String("39. ,99,255,1,100,0;") +</v>
      </c>
      <c r="Y43" s="2" t="str">
        <f t="shared" ca="1" si="67"/>
        <v>String("39. ,99,255,1,100,0;") +</v>
      </c>
      <c r="Z43" s="2" t="str">
        <f t="shared" ca="1" si="11"/>
        <v>39;12;186;9;Комета тройная</v>
      </c>
      <c r="AA43" s="2" t="str">
        <f t="shared" ca="1" si="68"/>
        <v xml:space="preserve">        case EFF_COMET_THREE:         DYNAMIC_DELAY_TICK { effTimer = millis(); MultipleStream2();            Eff_Tick (); }  break;  // ( 39U) Комета тройная</v>
      </c>
      <c r="AB43" s="2" t="str">
        <f t="shared" ca="1" si="69"/>
        <v>{"name":"39. Комета тройная","spmin":99,"spmax":255,"scmin":1,"scmax":100,"type":0},</v>
      </c>
      <c r="AC43" s="4" t="str">
        <f t="shared" ca="1" si="70"/>
        <v>"e39":0,</v>
      </c>
      <c r="AD43" s="4" t="str">
        <f t="shared" ca="1" si="71"/>
        <v>e39=[[e39]]&amp;</v>
      </c>
      <c r="AE43" s="4" t="str">
        <f t="shared" ca="1" si="72"/>
        <v>"e39":2,</v>
      </c>
      <c r="AF43" s="2" t="str">
        <f t="shared" ca="1" si="61"/>
        <v>{"type":"checkbox","class":"checkbox-big","name":"e39","title":"39. Комета тройная","style":"font-size:16px;display:block","state":"{{e39}}"},</v>
      </c>
      <c r="AG43" s="2" t="str">
        <f t="shared" ca="1" si="59"/>
        <v>{"type":"h4","title":"39. Комета тройная","style":"font-size:14px;width:85%;float:left"},{"type":"input","title":"папка","name":"e39","state":"{{e39}}","pattern":"[0-9]{1,2}","style":"background: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3" s="2" t="str">
        <f t="shared" ca="1" si="73"/>
        <v>"39": "39.Комета тройная",</v>
      </c>
      <c r="AI43" s="16"/>
      <c r="AJ43" s="2" t="str">
        <f t="shared" ca="1" si="74"/>
        <v>39. Комета тройная,99,255,1,100,0;</v>
      </c>
      <c r="AK43" s="2" t="str">
        <f t="shared" ca="1" si="14"/>
        <v>39.Комета тройная</v>
      </c>
      <c r="AL43" s="29" t="s">
        <v>434</v>
      </c>
      <c r="AM43" s="2"/>
      <c r="AN43" s="17"/>
      <c r="AO43" s="2"/>
      <c r="AP43" s="2"/>
      <c r="AQ43" s="2"/>
      <c r="AR43" s="2"/>
      <c r="AS43" s="16"/>
      <c r="AT43" s="2"/>
      <c r="AU43" s="2"/>
      <c r="AV43" s="18"/>
      <c r="AW43" s="18"/>
      <c r="AX43" s="18"/>
      <c r="AY43" s="18"/>
      <c r="AZ43" s="18"/>
      <c r="BA43" s="18"/>
      <c r="BB43" s="18"/>
      <c r="BC43" s="18"/>
      <c r="BD43" s="18"/>
    </row>
    <row r="44" spans="1:56" ht="14.25" customHeight="1">
      <c r="A44" s="33">
        <f t="shared" ca="1" si="62"/>
        <v>40</v>
      </c>
      <c r="B44" s="38" t="s">
        <v>127</v>
      </c>
      <c r="C44" s="38" t="s">
        <v>128</v>
      </c>
      <c r="H44" s="38">
        <v>12</v>
      </c>
      <c r="I44" s="38">
        <v>200</v>
      </c>
      <c r="J44" s="38">
        <v>60</v>
      </c>
      <c r="L44" s="38">
        <v>25</v>
      </c>
      <c r="M44" s="38">
        <v>255</v>
      </c>
      <c r="N44" s="38">
        <v>1</v>
      </c>
      <c r="O44" s="38">
        <v>100</v>
      </c>
      <c r="P44" s="38">
        <v>1</v>
      </c>
      <c r="Q44" s="38" t="s">
        <v>39</v>
      </c>
      <c r="R44" s="38" t="s">
        <v>129</v>
      </c>
      <c r="S44" s="38">
        <v>2</v>
      </c>
      <c r="T44" s="38">
        <f t="shared" ca="1" si="63"/>
        <v>40</v>
      </c>
      <c r="U44" s="15"/>
      <c r="V44" s="2" t="str">
        <f t="shared" ca="1" si="64"/>
        <v>#define EFF_CONTACTS            ( 40U)    // Контакты</v>
      </c>
      <c r="W44" s="2" t="str">
        <f t="shared" ca="1" si="65"/>
        <v>String("40. Контакты,25,255,1,100,1;") +</v>
      </c>
      <c r="X44" s="2" t="str">
        <f t="shared" ca="1" si="66"/>
        <v>String("40. ,25,255,1,100,1;") +</v>
      </c>
      <c r="Y44" s="2" t="str">
        <f t="shared" ca="1" si="67"/>
        <v>String("40. ,25,255,1,100,1;") +</v>
      </c>
      <c r="Z44" s="2" t="str">
        <f t="shared" ca="1" si="11"/>
        <v>40;12;200;60;Контакты</v>
      </c>
      <c r="AA44" s="2" t="str">
        <f t="shared" ca="1" si="68"/>
        <v xml:space="preserve">        case EFF_CONTACTS:            DYNAMIC_DELAY_TICK { effTimer = millis(); Contacts();                   Eff_Tick (); }  break;  // ( 40U) Контакты</v>
      </c>
      <c r="AB44" s="2" t="str">
        <f ca="1">CONCATENATE("{""name"":""",A44,". ",C44,""",""spmin"":",L44,",""spmax"":",M44,",""scmin"":",N44,",""scmax"":",O44,",""type"":",P44,"}")</f>
        <v>{"name":"40. Контакты","spmin":25,"spmax":255,"scmin":1,"scmax":100,"type":1}</v>
      </c>
      <c r="AC44" s="4" t="str">
        <f t="shared" ca="1" si="70"/>
        <v>"e40":0,</v>
      </c>
      <c r="AD44" s="4" t="str">
        <f t="shared" ca="1" si="71"/>
        <v>e40=[[e40]]&amp;</v>
      </c>
      <c r="AE44" s="4" t="str">
        <f t="shared" ca="1" si="72"/>
        <v>"e40":2,</v>
      </c>
      <c r="AF44" s="2" t="str">
        <f t="shared" ca="1" si="61"/>
        <v>{"type":"checkbox","class":"checkbox-big","name":"e40","title":"40. Контакты","style":"font-size:16px;display:block","state":"{{e40}}"},</v>
      </c>
      <c r="AG44" s="2" t="str">
        <f t="shared" ca="1" si="59"/>
        <v>{"type":"h4","title":"40. Контакты","style":"font-size:14px;width:85%;float:left"},{"type":"input","title":"папка","name":"e40","state":"{{e40}}","pattern":"[0-9]{1,2}","style":"background: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4" s="2" t="str">
        <f t="shared" ca="1" si="73"/>
        <v>"40": "40.Контакты",</v>
      </c>
      <c r="AI44" s="16"/>
      <c r="AJ44" s="2" t="str">
        <f t="shared" ca="1" si="74"/>
        <v>40. Контакты,25,255,1,100,1;</v>
      </c>
      <c r="AK44" s="2" t="str">
        <f t="shared" ca="1" si="14"/>
        <v>40.Контакты</v>
      </c>
      <c r="AL44" s="29" t="s">
        <v>434</v>
      </c>
      <c r="AM44" s="2"/>
      <c r="AN44" s="17"/>
      <c r="AO44" s="2"/>
      <c r="AP44" s="2"/>
      <c r="AQ44" s="2"/>
      <c r="AR44" s="2"/>
      <c r="AS44" s="16"/>
      <c r="AT44" s="2"/>
      <c r="AU44" s="2"/>
      <c r="AV44" s="18"/>
      <c r="AW44" s="18"/>
      <c r="AX44" s="18"/>
      <c r="AY44" s="18"/>
      <c r="AZ44" s="18"/>
      <c r="BA44" s="18"/>
      <c r="BB44" s="18"/>
      <c r="BC44" s="18"/>
      <c r="BD44" s="18"/>
    </row>
    <row r="45" spans="1:56" ht="14.25" customHeight="1">
      <c r="A45" s="33">
        <f t="shared" ca="1" si="62"/>
        <v>41</v>
      </c>
      <c r="B45" s="38" t="s">
        <v>130</v>
      </c>
      <c r="C45" s="38" t="s">
        <v>131</v>
      </c>
      <c r="H45" s="38">
        <v>15</v>
      </c>
      <c r="I45" s="38">
        <v>142</v>
      </c>
      <c r="J45" s="38">
        <v>63</v>
      </c>
      <c r="L45" s="38">
        <v>99</v>
      </c>
      <c r="M45" s="38">
        <v>255</v>
      </c>
      <c r="N45" s="38">
        <v>1</v>
      </c>
      <c r="O45" s="38">
        <v>100</v>
      </c>
      <c r="P45" s="38">
        <v>0</v>
      </c>
      <c r="Q45" s="38" t="s">
        <v>39</v>
      </c>
      <c r="R45" s="38" t="s">
        <v>132</v>
      </c>
      <c r="S45" s="38">
        <v>2</v>
      </c>
      <c r="T45" s="38">
        <f t="shared" ca="1" si="63"/>
        <v>41</v>
      </c>
      <c r="U45" s="15"/>
      <c r="V45" s="2" t="str">
        <f t="shared" ca="1" si="64"/>
        <v>#define EFF_SPARKLES            ( 41U)    // Конфетти</v>
      </c>
      <c r="W45" s="2" t="str">
        <f t="shared" ca="1" si="65"/>
        <v>String("41. Конфетти,99,255,1,100,0;") +</v>
      </c>
      <c r="X45" s="2" t="str">
        <f t="shared" ca="1" si="66"/>
        <v>String("41. ,99,255,1,100,0;") +</v>
      </c>
      <c r="Y45" s="2" t="str">
        <f t="shared" ca="1" si="67"/>
        <v>String("41. ,99,255,1,100,0;") +</v>
      </c>
      <c r="Z45" s="2" t="str">
        <f t="shared" ca="1" si="11"/>
        <v>41;15;142;63;Конфетти</v>
      </c>
      <c r="AA45" s="2" t="str">
        <f t="shared" ca="1" si="68"/>
        <v xml:space="preserve">        case EFF_SPARKLES:            DYNAMIC_DELAY_TICK { effTimer = millis(); sparklesRoutine();            Eff_Tick (); }  break;  // ( 41U) Конфетти</v>
      </c>
      <c r="AB45" s="2" t="str">
        <f ca="1">CONCATENATE("{""name"":""",A45,". ",C45,""",""spmin"":",L45,",""spmax"":",M45,",""scmin"":",N45,",""scmax"":",O45,",""type"":",P45,"},")</f>
        <v>{"name":"41. Конфетти","spmin":99,"spmax":255,"scmin":1,"scmax":100,"type":0},</v>
      </c>
      <c r="AC45" s="4" t="str">
        <f t="shared" ca="1" si="70"/>
        <v>"e41":0,</v>
      </c>
      <c r="AD45" s="4" t="str">
        <f t="shared" ca="1" si="71"/>
        <v>e41=[[e41]]&amp;</v>
      </c>
      <c r="AE45" s="4" t="str">
        <f t="shared" ca="1" si="72"/>
        <v>"e41":2,</v>
      </c>
      <c r="AF45" s="2" t="str">
        <f t="shared" ca="1" si="61"/>
        <v>{"type":"checkbox","class":"checkbox-big","name":"e41","title":"41. Конфетти","style":"font-size:16px;display:block","state":"{{e41}}"},</v>
      </c>
      <c r="AG45" s="2" t="str">
        <f t="shared" ca="1" si="59"/>
        <v>{"type":"h4","title":"41. Конфетти","style":"font-size:14px;width:85%;float:left"},{"type":"input","title":"папка","name":"e41","state":"{{e41}}","pattern":"[0-9]{1,2}","style":"background: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5" s="2" t="str">
        <f t="shared" ca="1" si="73"/>
        <v>"41": "41.Конфетти",</v>
      </c>
      <c r="AI45" s="16"/>
      <c r="AJ45" s="2" t="str">
        <f t="shared" ca="1" si="74"/>
        <v>41. Конфетти,99,255,1,100,0;</v>
      </c>
      <c r="AK45" s="2" t="str">
        <f t="shared" ca="1" si="14"/>
        <v>41.Конфетти</v>
      </c>
      <c r="AL45" s="29" t="s">
        <v>434</v>
      </c>
      <c r="AM45" s="2"/>
      <c r="AN45" s="17"/>
      <c r="AO45" s="2"/>
      <c r="AP45" s="2"/>
      <c r="AQ45" s="2"/>
      <c r="AR45" s="2"/>
      <c r="AS45" s="16"/>
      <c r="AT45" s="2"/>
      <c r="AU45" s="2"/>
      <c r="AV45" s="18"/>
      <c r="AW45" s="18"/>
      <c r="AX45" s="18"/>
      <c r="AY45" s="18"/>
      <c r="AZ45" s="18"/>
      <c r="BA45" s="18"/>
      <c r="BB45" s="18"/>
      <c r="BC45" s="18"/>
      <c r="BD45" s="18"/>
    </row>
    <row r="46" spans="1:56" ht="14.25" customHeight="1">
      <c r="A46" s="33">
        <f t="shared" ref="A46:A51" ca="1" si="75">MAX(OFFSET(A46,-4,0,4,1))+1</f>
        <v>42</v>
      </c>
      <c r="B46" s="38" t="s">
        <v>133</v>
      </c>
      <c r="C46" s="38" t="s">
        <v>134</v>
      </c>
      <c r="H46" s="38">
        <v>22</v>
      </c>
      <c r="I46" s="38">
        <v>222</v>
      </c>
      <c r="J46" s="38">
        <v>92</v>
      </c>
      <c r="L46" s="38">
        <v>99</v>
      </c>
      <c r="M46" s="38">
        <v>255</v>
      </c>
      <c r="N46" s="38">
        <v>1</v>
      </c>
      <c r="O46" s="38">
        <v>100</v>
      </c>
      <c r="P46" s="38">
        <v>0</v>
      </c>
      <c r="Q46" s="38" t="s">
        <v>39</v>
      </c>
      <c r="R46" s="38" t="s">
        <v>135</v>
      </c>
      <c r="S46" s="38">
        <v>2</v>
      </c>
      <c r="T46" s="38">
        <f t="shared" ref="T46:T51" ca="1" si="76">MAX(OFFSET(T46,-4,0,4,1))+1</f>
        <v>42</v>
      </c>
      <c r="U46" s="15"/>
      <c r="V46" s="2" t="str">
        <f t="shared" ref="V46:V51" ca="1" si="77">CONCATENATE("#define EFF_",B46,REPT(" ",20-LEN(B46)),"(",REPT(" ",3-LEN(T46)),T46,"U)    // ",C46)</f>
        <v>#define EFF_CUBE2D              ( 42U)    // Кубик Рубика</v>
      </c>
      <c r="W46" s="2" t="str">
        <f t="shared" ref="W46:W51" ca="1" si="78">CONCATENATE("String(""",A46,". ",C46,",",L46,",",M46,",",N46,",",O46,",",P46,";"") +")</f>
        <v>String("42. Кубик Рубика,99,255,1,100,0;") +</v>
      </c>
      <c r="X46" s="2" t="str">
        <f t="shared" ref="X46:X51" ca="1" si="79">CONCATENATE("String(""",A46,". ",D46,",",L46,",",M46,",",N46,",",O46,",",P46,";"") +")</f>
        <v>String("42. ,99,255,1,100,0;") +</v>
      </c>
      <c r="Y46" s="2" t="str">
        <f t="shared" ref="Y46:Y51" ca="1" si="80">CONCATENATE("String(""",A46,". ",E46,",",L46,",",M46,",",N46,",",O46,",",P46,";"") +")</f>
        <v>String("42. ,99,255,1,100,0;") +</v>
      </c>
      <c r="Z46" s="2" t="str">
        <f t="shared" ca="1" si="11"/>
        <v>42;22;222;92;Кубик Рубика</v>
      </c>
      <c r="AA46" s="2" t="str">
        <f t="shared" ref="AA46:AA51" ca="1" si="81">CONCATENATE("        case EFF_",B46,":",REPT(" ",20-LEN(B46)),Q46," { effTimer = millis(); ",R46,REPT(" ",30-LEN(R46)),"Eff_Tick (); }","  break;  // (",REPT(" ",3-LEN(T46)),T46,"U) ",C46)</f>
        <v xml:space="preserve">        case EFF_CUBE2D:              DYNAMIC_DELAY_TICK { effTimer = millis(); cube2dRoutine();              Eff_Tick (); }  break;  // ( 42U) Кубик Рубика</v>
      </c>
      <c r="AC46" s="4" t="str">
        <f t="shared" ref="AC46:AC51" ca="1" si="82">CONCATENATE("""","e",T46,"""",":0,")</f>
        <v>"e42":0,</v>
      </c>
      <c r="AD46" s="4" t="str">
        <f t="shared" ref="AD46:AD51" ca="1" si="83">CONCATENATE("e",T46,"=[[e",T46,"]]&amp;")</f>
        <v>e42=[[e42]]&amp;</v>
      </c>
      <c r="AE46" s="4" t="str">
        <f t="shared" ref="AE46:AE51" ca="1" si="84">CONCATENATE("""","e",T46,"""",":",S46,",")</f>
        <v>"e42":2,</v>
      </c>
      <c r="AF46" s="2" t="str">
        <f t="shared" ca="1" si="61"/>
        <v>{"type":"checkbox","class":"checkbox-big","name":"e42","title":"42. Кубик Рубика","style":"font-size:16px;display:block","state":"{{e42}}"},</v>
      </c>
      <c r="AG46" s="2" t="str">
        <f t="shared" ca="1" si="59"/>
        <v>{"type":"h4","title":"42. Кубик Рубика","style":"font-size:14px;width:85%;float:left"},{"type":"input","title":"папка","name":"e42","state":"{{e42}}","pattern":"[0-9]{1,2}","style":"background: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6" s="2" t="str">
        <f t="shared" ref="AH46:AH51" ca="1" si="85">CONCATENATE("""",A46,"""",": """,A46,".",C46,""",")</f>
        <v>"42": "42.Кубик Рубика",</v>
      </c>
      <c r="AI46" s="16"/>
      <c r="AJ46" s="2" t="str">
        <f t="shared" ref="AJ46:AJ51" ca="1" si="86">CONCATENATE(A46,". ",C46,",",L46,",",M46,",",N46,",",O46,",",P46,";")</f>
        <v>42. Кубик Рубика,99,255,1,100,0;</v>
      </c>
      <c r="AK46" s="2" t="str">
        <f t="shared" ca="1" si="14"/>
        <v>42.Кубик Рубика</v>
      </c>
      <c r="AL46" s="29" t="s">
        <v>434</v>
      </c>
      <c r="AM46" s="2"/>
      <c r="AN46" s="17"/>
      <c r="AO46" s="2"/>
      <c r="AP46" s="2"/>
      <c r="AQ46" s="2"/>
      <c r="AR46" s="2"/>
      <c r="AS46" s="16"/>
      <c r="AT46" s="2"/>
      <c r="AU46" s="2"/>
      <c r="AV46" s="18"/>
      <c r="AW46" s="18"/>
      <c r="AX46" s="18"/>
      <c r="AY46" s="18"/>
      <c r="AZ46" s="18"/>
      <c r="BA46" s="18"/>
      <c r="BB46" s="18"/>
      <c r="BC46" s="18"/>
      <c r="BD46" s="18"/>
    </row>
    <row r="47" spans="1:56" ht="14.25" customHeight="1">
      <c r="A47" s="33">
        <f t="shared" ca="1" si="75"/>
        <v>43</v>
      </c>
      <c r="B47" s="38" t="s">
        <v>136</v>
      </c>
      <c r="C47" s="38" t="s">
        <v>137</v>
      </c>
      <c r="H47" s="38">
        <v>8</v>
      </c>
      <c r="I47" s="38">
        <v>9</v>
      </c>
      <c r="J47" s="38">
        <v>24</v>
      </c>
      <c r="L47" s="38">
        <v>5</v>
      </c>
      <c r="M47" s="38">
        <v>60</v>
      </c>
      <c r="N47" s="38">
        <v>1</v>
      </c>
      <c r="O47" s="38">
        <v>100</v>
      </c>
      <c r="P47" s="38">
        <v>0</v>
      </c>
      <c r="Q47" s="38" t="s">
        <v>35</v>
      </c>
      <c r="R47" s="38" t="s">
        <v>138</v>
      </c>
      <c r="S47" s="38">
        <v>2</v>
      </c>
      <c r="T47" s="38">
        <f t="shared" ca="1" si="76"/>
        <v>43</v>
      </c>
      <c r="U47" s="15"/>
      <c r="V47" s="2" t="str">
        <f t="shared" ca="1" si="77"/>
        <v>#define EFF_LAVA                ( 43U)    // Лава</v>
      </c>
      <c r="W47" s="2" t="str">
        <f t="shared" ca="1" si="78"/>
        <v>String("43. Лава,5,60,1,100,0;") +</v>
      </c>
      <c r="X47" s="2" t="str">
        <f t="shared" ca="1" si="79"/>
        <v>String("43. ,5,60,1,100,0;") +</v>
      </c>
      <c r="Y47" s="2" t="str">
        <f t="shared" ca="1" si="80"/>
        <v>String("43. ,5,60,1,100,0;") +</v>
      </c>
      <c r="Z47" s="2" t="str">
        <f t="shared" ca="1" si="11"/>
        <v>43;8;9;24;Лава</v>
      </c>
      <c r="AA47" s="2" t="str">
        <f t="shared" ca="1" si="81"/>
        <v xml:space="preserve">        case EFF_LAVA:                HIGH_DELAY_TICK { effTimer = millis(); lavaNoiseRoutine();           Eff_Tick (); }  break;  // ( 43U) Лава</v>
      </c>
      <c r="AB47" s="2" t="str">
        <f t="shared" ref="AB47:AB51" ca="1" si="87">CONCATENATE("{""name"":""",A47,". ",C47,""",""spmin"":",L47,",""spmax"":",M47,",""scmin"":",N47,",""scmax"":",O47,",""type"":",P47,"},")</f>
        <v>{"name":"43. Лава","spmin":5,"spmax":60,"scmin":1,"scmax":100,"type":0},</v>
      </c>
      <c r="AC47" s="4" t="str">
        <f t="shared" ca="1" si="82"/>
        <v>"e43":0,</v>
      </c>
      <c r="AD47" s="4" t="str">
        <f t="shared" ca="1" si="83"/>
        <v>e43=[[e43]]&amp;</v>
      </c>
      <c r="AE47" s="4" t="str">
        <f t="shared" ca="1" si="84"/>
        <v>"e43":2,</v>
      </c>
      <c r="AF47" s="2" t="str">
        <f t="shared" ca="1" si="61"/>
        <v>{"type":"checkbox","class":"checkbox-big","name":"e43","title":"43. Лава","style":"font-size:16px;display:block","state":"{{e43}}"},</v>
      </c>
      <c r="AG47" s="2" t="str">
        <f t="shared" ca="1" si="59"/>
        <v>{"type":"h4","title":"43. Лава","style":"font-size:14px;width:85%;float:left"},{"type":"input","title":"папка","name":"e43","state":"{{e43}}","pattern":"[0-9]{1,2}","style":"background: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7" s="2" t="str">
        <f t="shared" ca="1" si="85"/>
        <v>"43": "43.Лава",</v>
      </c>
      <c r="AI47" s="16"/>
      <c r="AJ47" s="2" t="str">
        <f t="shared" ca="1" si="86"/>
        <v>43. Лава,5,60,1,100,0;</v>
      </c>
      <c r="AK47" s="2" t="str">
        <f t="shared" ca="1" si="14"/>
        <v>43.Лава</v>
      </c>
      <c r="AL47" s="29" t="s">
        <v>434</v>
      </c>
      <c r="AM47" s="2"/>
      <c r="AN47" s="17"/>
      <c r="AO47" s="2"/>
      <c r="AP47" s="2"/>
      <c r="AQ47" s="2"/>
      <c r="AR47" s="2"/>
      <c r="AS47" s="16"/>
      <c r="AT47" s="2"/>
      <c r="AU47" s="2"/>
      <c r="AV47" s="18"/>
      <c r="AW47" s="18"/>
      <c r="AX47" s="18"/>
      <c r="AY47" s="18"/>
      <c r="AZ47" s="18"/>
      <c r="BA47" s="18"/>
      <c r="BB47" s="18"/>
      <c r="BC47" s="18"/>
      <c r="BD47" s="18"/>
    </row>
    <row r="48" spans="1:56" ht="14.25" customHeight="1">
      <c r="A48" s="33">
        <f t="shared" ca="1" si="75"/>
        <v>44</v>
      </c>
      <c r="B48" s="38" t="s">
        <v>139</v>
      </c>
      <c r="C48" s="38" t="s">
        <v>140</v>
      </c>
      <c r="H48" s="38">
        <v>8</v>
      </c>
      <c r="I48" s="38">
        <v>240</v>
      </c>
      <c r="J48" s="38">
        <v>1</v>
      </c>
      <c r="L48" s="38">
        <v>1</v>
      </c>
      <c r="M48" s="38">
        <v>255</v>
      </c>
      <c r="N48" s="38">
        <v>1</v>
      </c>
      <c r="O48" s="38">
        <v>100</v>
      </c>
      <c r="P48" s="38">
        <v>0</v>
      </c>
      <c r="Q48" s="38" t="s">
        <v>76</v>
      </c>
      <c r="R48" s="38" t="s">
        <v>141</v>
      </c>
      <c r="S48" s="38">
        <v>2</v>
      </c>
      <c r="T48" s="38">
        <f t="shared" ca="1" si="76"/>
        <v>44</v>
      </c>
      <c r="U48" s="15"/>
      <c r="V48" s="2" t="str">
        <f t="shared" ca="1" si="77"/>
        <v>#define EFF_LAVALAMP            ( 44U)    // Лавовая лампа</v>
      </c>
      <c r="W48" s="2" t="str">
        <f t="shared" ca="1" si="78"/>
        <v>String("44. Лавовая лампа,1,255,1,100,0;") +</v>
      </c>
      <c r="X48" s="2" t="str">
        <f t="shared" ca="1" si="79"/>
        <v>String("44. ,1,255,1,100,0;") +</v>
      </c>
      <c r="Y48" s="2" t="str">
        <f t="shared" ca="1" si="80"/>
        <v>String("44. ,1,255,1,100,0;") +</v>
      </c>
      <c r="Z48" s="2" t="str">
        <f t="shared" ca="1" si="11"/>
        <v>44;8;240;1;Лавовая лампа</v>
      </c>
      <c r="AA48" s="2" t="str">
        <f t="shared" ca="1" si="81"/>
        <v xml:space="preserve">        case EFF_LAVALAMP:            LOW_DELAY_TICK { effTimer = millis(); LavaLampRoutine();            Eff_Tick (); }  break;  // ( 44U) Лавовая лампа</v>
      </c>
      <c r="AB48" s="2" t="str">
        <f t="shared" ca="1" si="87"/>
        <v>{"name":"44. Лавовая лампа","spmin":1,"spmax":255,"scmin":1,"scmax":100,"type":0},</v>
      </c>
      <c r="AC48" s="4" t="str">
        <f t="shared" ca="1" si="82"/>
        <v>"e44":0,</v>
      </c>
      <c r="AD48" s="4" t="str">
        <f t="shared" ca="1" si="83"/>
        <v>e44=[[e44]]&amp;</v>
      </c>
      <c r="AE48" s="4" t="str">
        <f t="shared" ca="1" si="84"/>
        <v>"e44":2,</v>
      </c>
      <c r="AF48" s="2" t="str">
        <f t="shared" ca="1" si="61"/>
        <v>{"type":"checkbox","class":"checkbox-big","name":"e44","title":"44. Лавовая лампа","style":"font-size:16px;display:block","state":"{{e44}}"},</v>
      </c>
      <c r="AG48" s="2" t="str">
        <f t="shared" ca="1" si="59"/>
        <v>{"type":"h4","title":"44. Лавовая лампа","style":"font-size:14px;width:85%;float:left"},{"type":"input","title":"папка","name":"e44","state":"{{e44}}","pattern":"[0-9]{1,2}","style":"background: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8" s="2" t="str">
        <f t="shared" ca="1" si="85"/>
        <v>"44": "44.Лавовая лампа",</v>
      </c>
      <c r="AI48" s="16"/>
      <c r="AJ48" s="2" t="str">
        <f t="shared" ca="1" si="86"/>
        <v>44. Лавовая лампа,1,255,1,100,0;</v>
      </c>
      <c r="AK48" s="2" t="str">
        <f t="shared" ca="1" si="14"/>
        <v>44.Лавовая лампа</v>
      </c>
      <c r="AL48" s="29" t="s">
        <v>434</v>
      </c>
      <c r="AM48" s="2"/>
      <c r="AN48" s="17"/>
      <c r="AO48" s="2"/>
      <c r="AP48" s="2"/>
      <c r="AQ48" s="2"/>
      <c r="AR48" s="2"/>
      <c r="AS48" s="16"/>
      <c r="AT48" s="2"/>
      <c r="AU48" s="2"/>
      <c r="AV48" s="18"/>
      <c r="AW48" s="18"/>
      <c r="AX48" s="18"/>
      <c r="AY48" s="18"/>
      <c r="AZ48" s="18"/>
      <c r="BA48" s="18"/>
      <c r="BB48" s="18"/>
      <c r="BC48" s="18"/>
      <c r="BD48" s="18"/>
    </row>
    <row r="49" spans="1:56" ht="14.25" customHeight="1">
      <c r="A49" s="33">
        <f t="shared" ca="1" si="75"/>
        <v>45</v>
      </c>
      <c r="B49" s="38" t="s">
        <v>142</v>
      </c>
      <c r="C49" s="38" t="s">
        <v>143</v>
      </c>
      <c r="H49" s="38">
        <v>15</v>
      </c>
      <c r="I49" s="38">
        <v>61</v>
      </c>
      <c r="J49" s="38">
        <v>20</v>
      </c>
      <c r="L49" s="38">
        <v>1</v>
      </c>
      <c r="M49" s="38">
        <v>255</v>
      </c>
      <c r="N49" s="38">
        <v>1</v>
      </c>
      <c r="O49" s="38">
        <v>100</v>
      </c>
      <c r="P49" s="38">
        <v>0</v>
      </c>
      <c r="Q49" s="38" t="s">
        <v>76</v>
      </c>
      <c r="R49" s="38" t="s">
        <v>144</v>
      </c>
      <c r="S49" s="38">
        <v>8</v>
      </c>
      <c r="T49" s="38">
        <f t="shared" ca="1" si="76"/>
        <v>45</v>
      </c>
      <c r="U49" s="15"/>
      <c r="V49" s="2" t="str">
        <f t="shared" ca="1" si="77"/>
        <v>#define EFF_BUTTERFLYS_LAMP     ( 45U)    // Лампа с мотыльками</v>
      </c>
      <c r="W49" s="2" t="str">
        <f t="shared" ca="1" si="78"/>
        <v>String("45. Лампа с мотыльками,1,255,1,100,0;") +</v>
      </c>
      <c r="X49" s="2" t="str">
        <f t="shared" ca="1" si="79"/>
        <v>String("45. ,1,255,1,100,0;") +</v>
      </c>
      <c r="Y49" s="2" t="str">
        <f t="shared" ca="1" si="80"/>
        <v>String("45. ,1,255,1,100,0;") +</v>
      </c>
      <c r="Z49" s="2" t="str">
        <f t="shared" ca="1" si="11"/>
        <v>45;15;61;20;Лампа с мотыльками</v>
      </c>
      <c r="AA49" s="2" t="str">
        <f t="shared" ca="1" si="81"/>
        <v xml:space="preserve">        case EFF_BUTTERFLYS_LAMP:     LOW_DELAY_TICK { effTimer = millis(); butterflysRoutine(false);     Eff_Tick (); }  break;  // ( 45U) Лампа с мотыльками</v>
      </c>
      <c r="AB49" s="2" t="str">
        <f t="shared" ca="1" si="87"/>
        <v>{"name":"45. Лампа с мотыльками","spmin":1,"spmax":255,"scmin":1,"scmax":100,"type":0},</v>
      </c>
      <c r="AC49" s="4" t="str">
        <f t="shared" ca="1" si="82"/>
        <v>"e45":0,</v>
      </c>
      <c r="AD49" s="4" t="str">
        <f t="shared" ca="1" si="83"/>
        <v>e45=[[e45]]&amp;</v>
      </c>
      <c r="AE49" s="4" t="str">
        <f t="shared" ca="1" si="84"/>
        <v>"e45":8,</v>
      </c>
      <c r="AF49" s="2" t="str">
        <f t="shared" ca="1" si="61"/>
        <v>{"type":"checkbox","class":"checkbox-big","name":"e45","title":"45. Лампа с мотыльками","style":"font-size:16px;display:block","state":"{{e45}}"},</v>
      </c>
      <c r="AG49" s="2" t="str">
        <f t="shared" ca="1" si="59"/>
        <v>{"type":"h4","title":"45. Лампа с мотыльками","style":"font-size:14px;width:85%;float:left"},{"type":"input","title":"папка","name":"e45","state":"{{e45}}","pattern":"[0-9]{1,2}","style":"background: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49" s="2" t="str">
        <f t="shared" ca="1" si="85"/>
        <v>"45": "45.Лампа с мотыльками",</v>
      </c>
      <c r="AI49" s="16"/>
      <c r="AJ49" s="2" t="str">
        <f t="shared" ca="1" si="86"/>
        <v>45. Лампа с мотыльками,1,255,1,100,0;</v>
      </c>
      <c r="AK49" s="2" t="str">
        <f t="shared" ca="1" si="14"/>
        <v>45.Лампа с мотыльками</v>
      </c>
      <c r="AL49" s="29" t="s">
        <v>434</v>
      </c>
      <c r="AM49" s="2"/>
      <c r="AN49" s="17"/>
      <c r="AO49" s="2"/>
      <c r="AP49" s="2"/>
      <c r="AQ49" s="2"/>
      <c r="AR49" s="2"/>
      <c r="AS49" s="16"/>
      <c r="AT49" s="2"/>
      <c r="AU49" s="2"/>
      <c r="AV49" s="18"/>
      <c r="AW49" s="18"/>
      <c r="AX49" s="18"/>
      <c r="AY49" s="18"/>
      <c r="AZ49" s="18"/>
      <c r="BA49" s="18"/>
      <c r="BB49" s="18"/>
      <c r="BC49" s="18"/>
      <c r="BD49" s="18"/>
    </row>
    <row r="50" spans="1:56" ht="14.25" customHeight="1">
      <c r="A50" s="33">
        <f t="shared" ca="1" si="75"/>
        <v>46</v>
      </c>
      <c r="B50" s="38" t="s">
        <v>145</v>
      </c>
      <c r="C50" s="38" t="s">
        <v>146</v>
      </c>
      <c r="H50" s="38">
        <v>8</v>
      </c>
      <c r="I50" s="38">
        <v>15</v>
      </c>
      <c r="J50" s="38">
        <v>95</v>
      </c>
      <c r="L50" s="38">
        <v>2</v>
      </c>
      <c r="M50" s="38">
        <v>30</v>
      </c>
      <c r="N50" s="38">
        <v>70</v>
      </c>
      <c r="O50" s="38">
        <v>100</v>
      </c>
      <c r="P50" s="38">
        <v>0</v>
      </c>
      <c r="Q50" s="38" t="s">
        <v>35</v>
      </c>
      <c r="R50" s="38" t="s">
        <v>147</v>
      </c>
      <c r="S50" s="38">
        <v>2</v>
      </c>
      <c r="T50" s="38">
        <f t="shared" ca="1" si="76"/>
        <v>46</v>
      </c>
      <c r="U50" s="15"/>
      <c r="V50" s="2" t="str">
        <f t="shared" ca="1" si="77"/>
        <v>#define EFF_FOREST              ( 46U)    // Лес</v>
      </c>
      <c r="W50" s="2" t="str">
        <f t="shared" ca="1" si="78"/>
        <v>String("46. Лес,2,30,70,100,0;") +</v>
      </c>
      <c r="X50" s="2" t="str">
        <f t="shared" ca="1" si="79"/>
        <v>String("46. ,2,30,70,100,0;") +</v>
      </c>
      <c r="Y50" s="2" t="str">
        <f t="shared" ca="1" si="80"/>
        <v>String("46. ,2,30,70,100,0;") +</v>
      </c>
      <c r="Z50" s="2" t="str">
        <f t="shared" ca="1" si="11"/>
        <v>46;8;15;95;Лес</v>
      </c>
      <c r="AA50" s="2" t="str">
        <f t="shared" ca="1" si="81"/>
        <v xml:space="preserve">        case EFF_FOREST:              HIGH_DELAY_TICK { effTimer = millis(); forestNoiseRoutine();         Eff_Tick (); }  break;  // ( 46U) Лес</v>
      </c>
      <c r="AB50" s="2" t="str">
        <f t="shared" ca="1" si="87"/>
        <v>{"name":"46. Лес","spmin":2,"spmax":30,"scmin":70,"scmax":100,"type":0},</v>
      </c>
      <c r="AC50" s="4" t="str">
        <f t="shared" ca="1" si="82"/>
        <v>"e46":0,</v>
      </c>
      <c r="AD50" s="4" t="str">
        <f t="shared" ca="1" si="83"/>
        <v>e46=[[e46]]&amp;</v>
      </c>
      <c r="AE50" s="4" t="str">
        <f t="shared" ca="1" si="84"/>
        <v>"e46":2,</v>
      </c>
      <c r="AF50" s="2" t="str">
        <f t="shared" ca="1" si="61"/>
        <v>{"type":"checkbox","class":"checkbox-big","name":"e46","title":"46. Лес","style":"font-size:16px;display:block","state":"{{e46}}"},</v>
      </c>
      <c r="AG50" s="2" t="str">
        <f t="shared" ca="1" si="59"/>
        <v>{"type":"h4","title":"46. Лес","style":"font-size:14px;width:85%;float:left"},{"type":"input","title":"папка","name":"e46","state":"{{e46}}","pattern":"[0-9]{1,2}","style":"background: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0" s="2" t="str">
        <f t="shared" ca="1" si="85"/>
        <v>"46": "46.Лес",</v>
      </c>
      <c r="AI50" s="16"/>
      <c r="AJ50" s="2" t="str">
        <f t="shared" ca="1" si="86"/>
        <v>46. Лес,2,30,70,100,0;</v>
      </c>
      <c r="AK50" s="2" t="str">
        <f t="shared" ca="1" si="14"/>
        <v>46.Лес</v>
      </c>
      <c r="AL50" s="29" t="s">
        <v>434</v>
      </c>
      <c r="AM50" s="2"/>
      <c r="AN50" s="17"/>
      <c r="AO50" s="2"/>
      <c r="AP50" s="2"/>
      <c r="AQ50" s="2"/>
      <c r="AR50" s="2"/>
      <c r="AS50" s="16"/>
      <c r="AT50" s="2"/>
      <c r="AU50" s="2"/>
      <c r="AV50" s="18"/>
      <c r="AW50" s="18"/>
      <c r="AX50" s="18"/>
      <c r="AY50" s="18"/>
      <c r="AZ50" s="18"/>
      <c r="BA50" s="18"/>
      <c r="BB50" s="18"/>
      <c r="BC50" s="18"/>
      <c r="BD50" s="18"/>
    </row>
    <row r="51" spans="1:56" ht="14.25" customHeight="1">
      <c r="A51" s="33">
        <f t="shared" ca="1" si="75"/>
        <v>47</v>
      </c>
      <c r="B51" s="38" t="s">
        <v>148</v>
      </c>
      <c r="C51" s="38" t="s">
        <v>149</v>
      </c>
      <c r="H51" s="38">
        <v>10</v>
      </c>
      <c r="I51" s="38">
        <v>200</v>
      </c>
      <c r="J51" s="38">
        <v>40</v>
      </c>
      <c r="L51" s="38">
        <v>1</v>
      </c>
      <c r="M51" s="38">
        <v>255</v>
      </c>
      <c r="N51" s="38">
        <v>1</v>
      </c>
      <c r="O51" s="38">
        <v>100</v>
      </c>
      <c r="P51" s="38">
        <v>0</v>
      </c>
      <c r="Q51" s="38" t="s">
        <v>39</v>
      </c>
      <c r="R51" s="38" t="s">
        <v>150</v>
      </c>
      <c r="S51" s="38">
        <v>2</v>
      </c>
      <c r="T51" s="38">
        <f t="shared" ca="1" si="76"/>
        <v>47</v>
      </c>
      <c r="U51" s="15"/>
      <c r="V51" s="2" t="str">
        <f t="shared" ca="1" si="77"/>
        <v>#define EFF_LUMENJER            ( 47U)    // Люмeньep</v>
      </c>
      <c r="W51" s="2" t="str">
        <f t="shared" ca="1" si="78"/>
        <v>String("47. Люмeньep,1,255,1,100,0;") +</v>
      </c>
      <c r="X51" s="2" t="str">
        <f t="shared" ca="1" si="79"/>
        <v>String("47. ,1,255,1,100,0;") +</v>
      </c>
      <c r="Y51" s="2" t="str">
        <f t="shared" ca="1" si="80"/>
        <v>String("47. ,1,255,1,100,0;") +</v>
      </c>
      <c r="Z51" s="2" t="str">
        <f t="shared" ca="1" si="11"/>
        <v>47;10;200;40;Люмeньep</v>
      </c>
      <c r="AA51" s="2" t="str">
        <f t="shared" ca="1" si="81"/>
        <v xml:space="preserve">        case EFF_LUMENJER:            DYNAMIC_DELAY_TICK { effTimer = millis(); lumenjerRoutine();            Eff_Tick (); }  break;  // ( 47U) Люмeньep</v>
      </c>
      <c r="AB51" s="2" t="str">
        <f t="shared" ca="1" si="87"/>
        <v>{"name":"47. Люмeньep","spmin":1,"spmax":255,"scmin":1,"scmax":100,"type":0},</v>
      </c>
      <c r="AC51" s="4" t="str">
        <f t="shared" ca="1" si="82"/>
        <v>"e47":0,</v>
      </c>
      <c r="AD51" s="4" t="str">
        <f t="shared" ca="1" si="83"/>
        <v>e47=[[e47]]&amp;</v>
      </c>
      <c r="AE51" s="4" t="str">
        <f t="shared" ca="1" si="84"/>
        <v>"e47":2,</v>
      </c>
      <c r="AF51" s="2" t="str">
        <f t="shared" ca="1" si="61"/>
        <v>{"type":"checkbox","class":"checkbox-big","name":"e47","title":"47. Люмeньep","style":"font-size:16px;display:block","state":"{{e47}}"},</v>
      </c>
      <c r="AG51" s="2" t="str">
        <f t="shared" ca="1" si="59"/>
        <v>{"type":"h4","title":"47. Люмeньep","style":"font-size:14px;width:85%;float:left"},{"type":"input","title":"папка","name":"e47","state":"{{e47}}","pattern":"[0-9]{1,2}","style":"background: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1" s="2" t="str">
        <f t="shared" ca="1" si="85"/>
        <v>"47": "47.Люмeньep",</v>
      </c>
      <c r="AI51" s="16"/>
      <c r="AJ51" s="2" t="str">
        <f t="shared" ca="1" si="86"/>
        <v>47. Люмeньep,1,255,1,100,0;</v>
      </c>
      <c r="AK51" s="2" t="str">
        <f t="shared" ca="1" si="14"/>
        <v>47.Люмeньep</v>
      </c>
      <c r="AL51" s="29" t="s">
        <v>434</v>
      </c>
      <c r="AM51" s="2"/>
      <c r="AN51" s="17"/>
      <c r="AO51" s="2"/>
      <c r="AP51" s="2"/>
      <c r="AQ51" s="2"/>
      <c r="AR51" s="2"/>
      <c r="AS51" s="16"/>
      <c r="AT51" s="2"/>
      <c r="AU51" s="2"/>
      <c r="AV51" s="18"/>
      <c r="AW51" s="18"/>
      <c r="AX51" s="18"/>
      <c r="AY51" s="18"/>
      <c r="AZ51" s="18"/>
      <c r="BA51" s="18"/>
      <c r="BB51" s="18"/>
      <c r="BC51" s="18"/>
      <c r="BD51" s="18"/>
    </row>
    <row r="52" spans="1:56" ht="14.25" customHeight="1">
      <c r="A52" s="34"/>
      <c r="B52" s="40"/>
      <c r="C52" s="40"/>
      <c r="H52" s="40"/>
      <c r="I52" s="40"/>
      <c r="J52" s="40"/>
      <c r="L52" s="40"/>
      <c r="M52" s="40"/>
      <c r="N52" s="40"/>
      <c r="O52" s="40"/>
      <c r="P52" s="40"/>
      <c r="Q52" s="40"/>
      <c r="R52" s="40"/>
      <c r="S52" s="50"/>
      <c r="T52" s="40"/>
      <c r="U52" s="15"/>
      <c r="V52" s="19"/>
      <c r="W52" s="19" t="s">
        <v>151</v>
      </c>
      <c r="X52" s="19" t="s">
        <v>151</v>
      </c>
      <c r="Y52" s="19"/>
      <c r="Z52" s="19"/>
      <c r="AA52" s="19"/>
      <c r="AB52" s="19"/>
      <c r="AC52" s="20"/>
      <c r="AD52" s="20"/>
      <c r="AE52" s="20"/>
      <c r="AF52" s="19"/>
      <c r="AG52" s="19"/>
      <c r="AH52" s="19"/>
      <c r="AI52" s="21"/>
      <c r="AJ52" s="11" t="s">
        <v>152</v>
      </c>
      <c r="AK52" s="2"/>
      <c r="AL52" s="29"/>
      <c r="AM52" s="4"/>
      <c r="AN52" s="4"/>
      <c r="AO52" s="5"/>
      <c r="AP52" s="2"/>
      <c r="AQ52" s="2"/>
      <c r="AR52" s="4"/>
      <c r="AS52" s="4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4" spans="1:56" ht="14.25" customHeight="1">
      <c r="A54" s="33">
        <f t="shared" ref="A54:A55" ca="1" si="88">MAX(OFFSET(A54,-4,0,4,1))+1</f>
        <v>48</v>
      </c>
      <c r="B54" s="38" t="s">
        <v>153</v>
      </c>
      <c r="C54" s="38" t="s">
        <v>154</v>
      </c>
      <c r="H54" s="38">
        <v>8</v>
      </c>
      <c r="I54" s="38">
        <v>205</v>
      </c>
      <c r="J54" s="38">
        <v>20</v>
      </c>
      <c r="L54" s="38">
        <v>150</v>
      </c>
      <c r="M54" s="38">
        <v>255</v>
      </c>
      <c r="N54" s="38">
        <v>1</v>
      </c>
      <c r="O54" s="38">
        <v>100</v>
      </c>
      <c r="P54" s="38">
        <v>0</v>
      </c>
      <c r="Q54" s="38" t="s">
        <v>39</v>
      </c>
      <c r="R54" s="38" t="s">
        <v>155</v>
      </c>
      <c r="S54" s="38">
        <v>2</v>
      </c>
      <c r="T54" s="38">
        <f t="shared" ref="T54:T55" ca="1" si="89">MAX(OFFSET(T54,-4,0,4,1))+1</f>
        <v>48</v>
      </c>
      <c r="U54" s="15"/>
      <c r="V54" s="2" t="str">
        <f t="shared" ref="V54:V55" ca="1" si="90">CONCATENATE("#define EFF_",B54,REPT(" ",20-LEN(B54)),"(",REPT(" ",3-LEN(T54)),T54,"U)    // ",C54)</f>
        <v>#define EFF_MAGMA               ( 48U)    // Магма</v>
      </c>
      <c r="W54" s="2" t="str">
        <f t="shared" ref="W54" ca="1" si="91">CONCATENATE("String(""",A54,". ",C54,",",L54,",",M54,",",N54,",",O54,",",P54,";"") +")</f>
        <v>String("48. Магма,150,255,1,100,0;") +</v>
      </c>
      <c r="X54" s="2" t="str">
        <f t="shared" ref="X54" ca="1" si="92">CONCATENATE("String(""",A54,". ",D54,",",L54,",",M54,",",N54,",",O54,",",P54,";"") +")</f>
        <v>String("48. ,150,255,1,100,0;") +</v>
      </c>
      <c r="Y54" s="2" t="str">
        <f t="shared" ref="Y54" ca="1" si="93">CONCATENATE("String(""",A54,". ",E54,",",L54,",",M54,",",N54,",",O54,",",P54,";"") +")</f>
        <v>String("48. ,150,255,1,100,0;") +</v>
      </c>
      <c r="Z54" s="2" t="str">
        <f t="shared" ref="Z54:Z94" ca="1" si="94">CONCATENATE(A54,";",H54,";",I54,";",J54,";",C54)</f>
        <v>48;8;205;20;Магма</v>
      </c>
      <c r="AA54" s="2" t="str">
        <f t="shared" ref="AA54:AA55" ca="1" si="95">CONCATENATE("        case EFF_",B54,":",REPT(" ",20-LEN(B54)),Q54," { effTimer = millis(); ",R54,REPT(" ",30-LEN(R54)),"Eff_Tick (); }","  break;  // (",REPT(" ",3-LEN(T54)),T54,"U) ",C54)</f>
        <v xml:space="preserve">        case EFF_MAGMA:               DYNAMIC_DELAY_TICK { effTimer = millis(); magmaRoutine();               Eff_Tick (); }  break;  // ( 48U) Магма</v>
      </c>
      <c r="AB54" s="2" t="str">
        <f t="shared" ref="AB54" ca="1" si="96">CONCATENATE("{""name"":""",A54,". ",C54,""",""spmin"":",L54,",""spmax"":",M54,",""scmin"":",N54,",""scmax"":",O54,",""type"":",P54,"},")</f>
        <v>{"name":"48. Магма","spmin":150,"spmax":255,"scmin":1,"scmax":100,"type":0},</v>
      </c>
      <c r="AC54" s="4" t="str">
        <f t="shared" ref="AC54:AC55" ca="1" si="97">CONCATENATE("""","e",T54,"""",":0,")</f>
        <v>"e48":0,</v>
      </c>
      <c r="AD54" s="4" t="str">
        <f t="shared" ref="AD54:AD55" ca="1" si="98">CONCATENATE("e",T54,"=[[e",T54,"]]&amp;")</f>
        <v>e48=[[e48]]&amp;</v>
      </c>
      <c r="AE54" s="4" t="str">
        <f t="shared" ref="AE54:AE55" ca="1" si="99">CONCATENATE("""","e",T54,"""",":",S54,",")</f>
        <v>"e48":2,</v>
      </c>
      <c r="AF54" s="2" t="str">
        <f t="shared" ref="AF54:AF55" ca="1" si="100">CONCATENATE("{""type"":""checkbox"",""class"":""checkbox-big"",""name"":""e",T54,""",""title"":""",A54,". ",C54,""",""style"":""font-size:16px;display:block"",""state"":""{{e",T54,"}}""},")</f>
        <v>{"type":"checkbox","class":"checkbox-big","name":"e48","title":"48. Магма","style":"font-size:16px;display:block","state":"{{e48}}"},</v>
      </c>
      <c r="AG54" s="2" t="str">
        <f t="shared" ref="AG54:AG55" ca="1" si="101">CONCATENATE("{""type"":""h4"",""title"":""",A54,". ",C54,""",""style"":""font-size:14px;width:85%;float:left""},{""type"":""input"",""title"":""папка"",""name"":""e",T54,""",""state"":""{{e",T54,"}}"",""pattern"":""[0-9]{1,2}"",""style"":""",AL54,"""},{""type"":""hr""},")</f>
        <v>{"type":"h4","title":"48. Магма","style":"font-size:14px;width:85%;float:left"},{"type":"input","title":"папка","name":"e48","state":"{{e48}}","pattern":"[0-9]{1,2}","style":"background: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4" s="2" t="str">
        <f t="shared" ref="AH54:AH55" ca="1" si="102">CONCATENATE("""",A54,"""",": """,A54,".",C54,""",")</f>
        <v>"48": "48.Магма",</v>
      </c>
      <c r="AI54" s="16"/>
      <c r="AJ54" s="2" t="str">
        <f ca="1">CONCATENATE(A54,". ",C54,",",L54,",",M54,",",N54,",",O54,",",P54,";")</f>
        <v>48. Магма,150,255,1,100,0;</v>
      </c>
      <c r="AK54" s="2" t="str">
        <f t="shared" ref="AK54:AK94" ca="1" si="103">CONCATENATE(A54,".",C54)</f>
        <v>48.Магма</v>
      </c>
      <c r="AL54" s="29" t="s">
        <v>434</v>
      </c>
      <c r="AM54" s="2"/>
      <c r="AN54" s="17"/>
      <c r="AO54" s="2"/>
      <c r="AP54" s="2"/>
      <c r="AQ54" s="2"/>
      <c r="AR54" s="2"/>
      <c r="AS54" s="16"/>
      <c r="AT54" s="2"/>
      <c r="AU54" s="2"/>
      <c r="AV54" s="18"/>
      <c r="AW54" s="18"/>
      <c r="AX54" s="18"/>
      <c r="AY54" s="18"/>
      <c r="AZ54" s="18"/>
      <c r="BA54" s="18"/>
      <c r="BB54" s="18"/>
      <c r="BC54" s="18"/>
      <c r="BD54" s="18"/>
    </row>
    <row r="55" spans="1:56">
      <c r="A55" s="33">
        <f t="shared" ca="1" si="88"/>
        <v>49</v>
      </c>
      <c r="B55" s="38" t="s">
        <v>452</v>
      </c>
      <c r="C55" s="38" t="s">
        <v>450</v>
      </c>
      <c r="H55" s="38">
        <v>10</v>
      </c>
      <c r="I55" s="38">
        <v>65</v>
      </c>
      <c r="J55" s="38">
        <v>35</v>
      </c>
      <c r="L55" s="38">
        <v>1</v>
      </c>
      <c r="M55" s="38">
        <v>255</v>
      </c>
      <c r="N55" s="38">
        <v>1</v>
      </c>
      <c r="O55" s="38">
        <v>100</v>
      </c>
      <c r="P55" s="38">
        <v>0</v>
      </c>
      <c r="Q55" s="38" t="s">
        <v>39</v>
      </c>
      <c r="R55" s="57" t="s">
        <v>451</v>
      </c>
      <c r="S55" s="38">
        <v>2</v>
      </c>
      <c r="T55" s="38">
        <f t="shared" ca="1" si="89"/>
        <v>49</v>
      </c>
      <c r="V55" s="2" t="str">
        <f t="shared" ca="1" si="90"/>
        <v>#define EFF_MARIO               ( 49U)    // Марио</v>
      </c>
      <c r="Z55" s="2" t="str">
        <f t="shared" ca="1" si="94"/>
        <v>49;10;65;35;Марио</v>
      </c>
      <c r="AA55" s="2" t="str">
        <f t="shared" ca="1" si="95"/>
        <v xml:space="preserve">        case EFF_MARIO:               DYNAMIC_DELAY_TICK { effTimer = millis(); marioRoutine();               Eff_Tick (); }  break;  // ( 49U) Марио</v>
      </c>
      <c r="AC55" s="4" t="str">
        <f t="shared" ca="1" si="97"/>
        <v>"e49":0,</v>
      </c>
      <c r="AD55" s="4" t="str">
        <f t="shared" ca="1" si="98"/>
        <v>e49=[[e49]]&amp;</v>
      </c>
      <c r="AE55" s="4" t="str">
        <f t="shared" ca="1" si="99"/>
        <v>"e49":2,</v>
      </c>
      <c r="AF55" s="2" t="str">
        <f t="shared" ca="1" si="100"/>
        <v>{"type":"checkbox","class":"checkbox-big","name":"e49","title":"49. Марио","style":"font-size:16px;display:block","state":"{{e49}}"},</v>
      </c>
      <c r="AG55" s="2" t="str">
        <f t="shared" ca="1" si="101"/>
        <v>{"type":"h4","title":"49. Марио","style":"font-size:14px;width:85%;float:left"},{"type":"input","title":"папка","name":"e49","state":"{{e49}}","pattern":"[0-9]{1,2}","style":"background: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5" s="2" t="str">
        <f t="shared" ca="1" si="102"/>
        <v>"49": "49.Марио",</v>
      </c>
      <c r="AJ55" s="2" t="str">
        <f ca="1">CONCATENATE(A55,". ",C55,",",L55,",",M55,",",N55,",",O55,",",P55,";")</f>
        <v>49. Марио,1,255,1,100,0;</v>
      </c>
      <c r="AK55" s="2" t="str">
        <f t="shared" ca="1" si="103"/>
        <v>49.Марио</v>
      </c>
      <c r="AL55" s="29" t="s">
        <v>434</v>
      </c>
    </row>
    <row r="56" spans="1:56" ht="14.25" customHeight="1">
      <c r="A56" s="33">
        <f t="shared" ref="A56:A66" ca="1" si="104">MAX(OFFSET(A56,-4,0,4,1))+1</f>
        <v>50</v>
      </c>
      <c r="B56" s="38" t="s">
        <v>156</v>
      </c>
      <c r="C56" s="38" t="s">
        <v>157</v>
      </c>
      <c r="H56" s="38">
        <v>8</v>
      </c>
      <c r="I56" s="38">
        <v>195</v>
      </c>
      <c r="J56" s="38">
        <v>50</v>
      </c>
      <c r="L56" s="38">
        <v>1</v>
      </c>
      <c r="M56" s="38">
        <v>255</v>
      </c>
      <c r="N56" s="38">
        <v>1</v>
      </c>
      <c r="O56" s="38">
        <v>100</v>
      </c>
      <c r="P56" s="38">
        <v>0</v>
      </c>
      <c r="Q56" s="38" t="s">
        <v>39</v>
      </c>
      <c r="R56" s="38" t="s">
        <v>158</v>
      </c>
      <c r="S56" s="38">
        <v>2</v>
      </c>
      <c r="T56" s="38">
        <f t="shared" ref="T56:T66" ca="1" si="105">MAX(OFFSET(T56,-4,0,4,1))+1</f>
        <v>50</v>
      </c>
      <c r="U56" s="15"/>
      <c r="V56" s="2" t="str">
        <f t="shared" ref="V56:V66" ca="1" si="106">CONCATENATE("#define EFF_",B56,REPT(" ",20-LEN(B56)),"(",REPT(" ",3-LEN(T56)),T56,"U)    // ",C56)</f>
        <v>#define EFF_PAINTS              ( 50U)    // Масляные краски</v>
      </c>
      <c r="W56" s="2" t="str">
        <f t="shared" ref="W56:W66" ca="1" si="107">CONCATENATE("String(""",A56,". ",C56,",",L56,",",M56,",",N56,",",O56,",",P56,";"") +")</f>
        <v>String("50. Масляные краски,1,255,1,100,0;") +</v>
      </c>
      <c r="X56" s="2" t="str">
        <f t="shared" ref="X56:X66" ca="1" si="108">CONCATENATE("String(""",A56,". ",D56,",",L56,",",M56,",",N56,",",O56,",",P56,";"") +")</f>
        <v>String("50. ,1,255,1,100,0;") +</v>
      </c>
      <c r="Y56" s="2" t="str">
        <f t="shared" ref="Y56:Y66" ca="1" si="109">CONCATENATE("String(""",A56,". ",E56,",",L56,",",M56,",",N56,",",O56,",",P56,";"") +")</f>
        <v>String("50. ,1,255,1,100,0;") +</v>
      </c>
      <c r="Z56" s="2" t="str">
        <f t="shared" ca="1" si="94"/>
        <v>50;8;195;50;Масляные краски</v>
      </c>
      <c r="AA56" s="2" t="str">
        <f t="shared" ref="AA56:AA66" ca="1" si="110">CONCATENATE("        case EFF_",B56,":",REPT(" ",20-LEN(B56)),Q56," { effTimer = millis(); ",R56,REPT(" ",30-LEN(R56)),"Eff_Tick (); }","  break;  // (",REPT(" ",3-LEN(T56)),T56,"U) ",C56)</f>
        <v xml:space="preserve">        case EFF_PAINTS:              DYNAMIC_DELAY_TICK { effTimer = millis(); OilPaints();                  Eff_Tick (); }  break;  // ( 50U) Масляные краски</v>
      </c>
      <c r="AB56" s="2" t="str">
        <f ca="1">CONCATENATE("{""name"":""",A56,". ",C56,""",""spmin"":",L56,",""spmax"":",M56,",""scmin"":",N56,",""scmax"":",O56,",""type"":",P56,"},")</f>
        <v>{"name":"50. Масляные краски","spmin":1,"spmax":255,"scmin":1,"scmax":100,"type":0},</v>
      </c>
      <c r="AC56" s="4" t="str">
        <f t="shared" ref="AC56:AC66" ca="1" si="111">CONCATENATE("""","e",T56,"""",":0,")</f>
        <v>"e50":0,</v>
      </c>
      <c r="AD56" s="4" t="str">
        <f t="shared" ref="AD56:AD66" ca="1" si="112">CONCATENATE("e",T56,"=[[e",T56,"]]&amp;")</f>
        <v>e50=[[e50]]&amp;</v>
      </c>
      <c r="AE56" s="4" t="str">
        <f t="shared" ref="AE56:AE66" ca="1" si="113">CONCATENATE("""","e",T56,"""",":",S56,",")</f>
        <v>"e50":2,</v>
      </c>
      <c r="AF56" s="2" t="str">
        <f t="shared" ref="AF56:AF88" ca="1" si="114">CONCATENATE("{""type"":""checkbox"",""class"":""checkbox-big"",""name"":""e",T56,""",""title"":""",A56,". ",C56,""",""style"":""font-size:16px;display:block"",""state"":""{{e",T56,"}}""},")</f>
        <v>{"type":"checkbox","class":"checkbox-big","name":"e50","title":"50. Масляные краски","style":"font-size:16px;display:block","state":"{{e50}}"},</v>
      </c>
      <c r="AG56" s="2" t="str">
        <f t="shared" ref="AG56:AG88" ca="1" si="115">CONCATENATE("{""type"":""h4"",""title"":""",A56,". ",C56,""",""style"":""font-size:14px;width:85%;float:left""},{""type"":""input"",""title"":""папка"",""name"":""e",T56,""",""state"":""{{e",T56,"}}"",""pattern"":""[0-9]{1,2}"",""style"":""",AL56,"""},{""type"":""hr""},")</f>
        <v>{"type":"h4","title":"50. Масляные краски","style":"font-size:14px;width:85%;float:left"},{"type":"input","title":"папка","name":"e50","state":"{{e50}}","pattern":"[0-9]{1,2}","style":"background: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6" s="2" t="str">
        <f t="shared" ref="AH56:AH66" ca="1" si="116">CONCATENATE("""",A56,"""",": """,A56,".",C56,""",")</f>
        <v>"50": "50.Масляные краски",</v>
      </c>
      <c r="AI56" s="16"/>
      <c r="AJ56" s="2" t="str">
        <f t="shared" ref="AJ56:AJ66" ca="1" si="117">CONCATENATE(A56,". ",C56,",",L56,",",M56,",",N56,",",O56,",",P56,";")</f>
        <v>50. Масляные краски,1,255,1,100,0;</v>
      </c>
      <c r="AK56" s="2" t="str">
        <f t="shared" ca="1" si="103"/>
        <v>50.Масляные краски</v>
      </c>
      <c r="AL56" s="29" t="s">
        <v>434</v>
      </c>
      <c r="AM56" s="2"/>
      <c r="AN56" s="17"/>
      <c r="AO56" s="2"/>
      <c r="AP56" s="2"/>
      <c r="AQ56" s="2"/>
      <c r="AR56" s="2"/>
      <c r="AS56" s="16"/>
      <c r="AT56" s="2"/>
      <c r="AU56" s="2"/>
      <c r="AV56" s="18"/>
      <c r="AW56" s="18"/>
      <c r="AX56" s="18"/>
      <c r="AY56" s="18"/>
      <c r="AZ56" s="18"/>
      <c r="BA56" s="18"/>
      <c r="BB56" s="18"/>
      <c r="BC56" s="18"/>
      <c r="BD56" s="18"/>
    </row>
    <row r="57" spans="1:56" ht="14.25" customHeight="1">
      <c r="A57" s="33">
        <f t="shared" ca="1" si="104"/>
        <v>51</v>
      </c>
      <c r="B57" s="38" t="s">
        <v>159</v>
      </c>
      <c r="C57" s="38" t="s">
        <v>160</v>
      </c>
      <c r="H57" s="38">
        <v>12</v>
      </c>
      <c r="I57" s="38">
        <v>186</v>
      </c>
      <c r="J57" s="38">
        <v>23</v>
      </c>
      <c r="L57" s="38">
        <v>99</v>
      </c>
      <c r="M57" s="38">
        <v>255</v>
      </c>
      <c r="N57" s="38">
        <v>1</v>
      </c>
      <c r="O57" s="38">
        <v>100</v>
      </c>
      <c r="P57" s="38">
        <v>0</v>
      </c>
      <c r="Q57" s="38" t="s">
        <v>39</v>
      </c>
      <c r="R57" s="38" t="s">
        <v>161</v>
      </c>
      <c r="S57" s="38">
        <v>14</v>
      </c>
      <c r="T57" s="38">
        <f t="shared" ca="1" si="105"/>
        <v>51</v>
      </c>
      <c r="U57" s="15"/>
      <c r="V57" s="2" t="str">
        <f t="shared" ca="1" si="106"/>
        <v>#define EFF_MATRIX              ( 51U)    // Матрица</v>
      </c>
      <c r="W57" s="2" t="str">
        <f t="shared" ca="1" si="107"/>
        <v>String("51. Матрица,99,255,1,100,0;") +</v>
      </c>
      <c r="X57" s="2" t="str">
        <f t="shared" ca="1" si="108"/>
        <v>String("51. ,99,255,1,100,0;") +</v>
      </c>
      <c r="Y57" s="2" t="str">
        <f t="shared" ca="1" si="109"/>
        <v>String("51. ,99,255,1,100,0;") +</v>
      </c>
      <c r="Z57" s="2" t="str">
        <f t="shared" ca="1" si="94"/>
        <v>51;12;186;23;Матрица</v>
      </c>
      <c r="AA57" s="2" t="str">
        <f t="shared" ca="1" si="110"/>
        <v xml:space="preserve">        case EFF_MATRIX:              DYNAMIC_DELAY_TICK { effTimer = millis(); matrixRoutine();              Eff_Tick (); }  break;  // ( 51U) Матрица</v>
      </c>
      <c r="AB57" s="2" t="str">
        <f ca="1">CONCATENATE("{""name"":""",A57,". ",C57,""",""spmin"":",L57,",""spmax"":",M57,",""scmin"":",N57,",""scmax"":",O57,",""type"":",P57,"},")</f>
        <v>{"name":"51. Матрица","spmin":99,"spmax":255,"scmin":1,"scmax":100,"type":0},</v>
      </c>
      <c r="AC57" s="4" t="str">
        <f t="shared" ca="1" si="111"/>
        <v>"e51":0,</v>
      </c>
      <c r="AD57" s="4" t="str">
        <f t="shared" ca="1" si="112"/>
        <v>e51=[[e51]]&amp;</v>
      </c>
      <c r="AE57" s="4" t="str">
        <f t="shared" ca="1" si="113"/>
        <v>"e51":14,</v>
      </c>
      <c r="AF57" s="2" t="str">
        <f t="shared" ca="1" si="114"/>
        <v>{"type":"checkbox","class":"checkbox-big","name":"e51","title":"51. Матрица","style":"font-size:16px;display:block","state":"{{e51}}"},</v>
      </c>
      <c r="AG57" s="2" t="str">
        <f t="shared" ca="1" si="115"/>
        <v>{"type":"h4","title":"51. Матрица","style":"font-size:14px;width:85%;float:left"},{"type":"input","title":"папка","name":"e51","state":"{{e51}}","pattern":"[0-9]{1,2}","style":"background: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7" s="2" t="str">
        <f t="shared" ca="1" si="116"/>
        <v>"51": "51.Матрица",</v>
      </c>
      <c r="AI57" s="16"/>
      <c r="AJ57" s="2" t="str">
        <f t="shared" ca="1" si="117"/>
        <v>51. Матрица,99,255,1,100,0;</v>
      </c>
      <c r="AK57" s="2" t="str">
        <f t="shared" ca="1" si="103"/>
        <v>51.Матрица</v>
      </c>
      <c r="AL57" s="29" t="s">
        <v>434</v>
      </c>
      <c r="AM57" s="2"/>
      <c r="AN57" s="17"/>
      <c r="AO57" s="2"/>
      <c r="AP57" s="2"/>
      <c r="AQ57" s="2"/>
      <c r="AR57" s="2"/>
      <c r="AS57" s="16"/>
      <c r="AT57" s="2"/>
      <c r="AU57" s="2"/>
      <c r="AV57" s="18"/>
      <c r="AW57" s="18"/>
      <c r="AX57" s="18"/>
      <c r="AY57" s="18"/>
      <c r="AZ57" s="18"/>
      <c r="BA57" s="18"/>
      <c r="BB57" s="18"/>
      <c r="BC57" s="18"/>
      <c r="BD57" s="18"/>
    </row>
    <row r="58" spans="1:56" ht="14.25" customHeight="1">
      <c r="A58" s="33">
        <f t="shared" ca="1" si="104"/>
        <v>52</v>
      </c>
      <c r="B58" s="38" t="s">
        <v>162</v>
      </c>
      <c r="C58" s="38" t="s">
        <v>163</v>
      </c>
      <c r="H58" s="38">
        <v>12</v>
      </c>
      <c r="I58" s="38">
        <v>235</v>
      </c>
      <c r="J58" s="38">
        <v>4</v>
      </c>
      <c r="L58" s="38">
        <v>60</v>
      </c>
      <c r="M58" s="38">
        <v>255</v>
      </c>
      <c r="N58" s="38">
        <v>1</v>
      </c>
      <c r="O58" s="38">
        <v>100</v>
      </c>
      <c r="P58" s="38">
        <v>0</v>
      </c>
      <c r="Q58" s="38" t="s">
        <v>39</v>
      </c>
      <c r="R58" s="38" t="s">
        <v>164</v>
      </c>
      <c r="S58" s="38">
        <v>2</v>
      </c>
      <c r="T58" s="38">
        <f t="shared" ca="1" si="105"/>
        <v>52</v>
      </c>
      <c r="U58" s="15"/>
      <c r="V58" s="2" t="str">
        <f t="shared" ca="1" si="106"/>
        <v>#define EFF_TWINKLES            ( 52U)    // Мерцание</v>
      </c>
      <c r="W58" s="2" t="str">
        <f t="shared" ca="1" si="107"/>
        <v>String("52. Мерцание,60,255,1,100,0;") +</v>
      </c>
      <c r="X58" s="2" t="str">
        <f t="shared" ca="1" si="108"/>
        <v>String("52. ,60,255,1,100,0;") +</v>
      </c>
      <c r="Y58" s="2" t="str">
        <f t="shared" ca="1" si="109"/>
        <v>String("52. ,60,255,1,100,0;") +</v>
      </c>
      <c r="Z58" s="2" t="str">
        <f t="shared" ca="1" si="94"/>
        <v>52;12;235;4;Мерцание</v>
      </c>
      <c r="AA58" s="2" t="str">
        <f t="shared" ca="1" si="110"/>
        <v xml:space="preserve">        case EFF_TWINKLES:            DYNAMIC_DELAY_TICK { effTimer = millis(); twinklesRoutine();            Eff_Tick (); }  break;  // ( 52U) Мерцание</v>
      </c>
      <c r="AB58" s="2" t="str">
        <f ca="1">CONCATENATE("{""name"":""",A58,". ",C58,""",""spmin"":",L58,",""spmax"":",M58,",""scmin"":",N58,",""scmax"":",O58,",""type"":",P58,"},")</f>
        <v>{"name":"52. Мерцание","spmin":60,"spmax":255,"scmin":1,"scmax":100,"type":0},</v>
      </c>
      <c r="AC58" s="4" t="str">
        <f t="shared" ca="1" si="111"/>
        <v>"e52":0,</v>
      </c>
      <c r="AD58" s="4" t="str">
        <f t="shared" ca="1" si="112"/>
        <v>e52=[[e52]]&amp;</v>
      </c>
      <c r="AE58" s="4" t="str">
        <f t="shared" ca="1" si="113"/>
        <v>"e52":2,</v>
      </c>
      <c r="AF58" s="2" t="str">
        <f t="shared" ca="1" si="114"/>
        <v>{"type":"checkbox","class":"checkbox-big","name":"e52","title":"52. Мерцание","style":"font-size:16px;display:block","state":"{{e52}}"},</v>
      </c>
      <c r="AG58" s="2" t="str">
        <f t="shared" ca="1" si="115"/>
        <v>{"type":"h4","title":"52. Мерцание","style":"font-size:14px;width:85%;float:left"},{"type":"input","title":"папка","name":"e52","state":"{{e52}}","pattern":"[0-9]{1,2}","style":"background: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8" s="2" t="str">
        <f t="shared" ca="1" si="116"/>
        <v>"52": "52.Мерцание",</v>
      </c>
      <c r="AI58" s="16"/>
      <c r="AJ58" s="2" t="str">
        <f t="shared" ca="1" si="117"/>
        <v>52. Мерцание,60,255,1,100,0;</v>
      </c>
      <c r="AK58" s="2" t="str">
        <f t="shared" ca="1" si="103"/>
        <v>52.Мерцание</v>
      </c>
      <c r="AL58" s="29" t="s">
        <v>434</v>
      </c>
      <c r="AM58" s="2"/>
      <c r="AN58" s="17"/>
      <c r="AO58" s="2"/>
      <c r="AP58" s="2"/>
      <c r="AQ58" s="2"/>
      <c r="AR58" s="2"/>
      <c r="AS58" s="16"/>
      <c r="AT58" s="2"/>
      <c r="AU58" s="2"/>
      <c r="AV58" s="18"/>
      <c r="AW58" s="18"/>
      <c r="AX58" s="18"/>
      <c r="AY58" s="18"/>
      <c r="AZ58" s="18"/>
      <c r="BA58" s="18"/>
      <c r="BB58" s="18"/>
      <c r="BC58" s="18"/>
      <c r="BD58" s="18"/>
    </row>
    <row r="59" spans="1:56" ht="14.25" customHeight="1">
      <c r="A59" s="33">
        <f t="shared" ca="1" si="104"/>
        <v>53</v>
      </c>
      <c r="B59" s="38" t="s">
        <v>165</v>
      </c>
      <c r="C59" s="38" t="s">
        <v>166</v>
      </c>
      <c r="H59" s="38">
        <v>8</v>
      </c>
      <c r="I59" s="38">
        <v>72</v>
      </c>
      <c r="J59" s="38">
        <v>3</v>
      </c>
      <c r="L59" s="38">
        <v>1</v>
      </c>
      <c r="M59" s="38">
        <v>255</v>
      </c>
      <c r="N59" s="38">
        <v>1</v>
      </c>
      <c r="O59" s="38">
        <v>100</v>
      </c>
      <c r="P59" s="38">
        <v>0</v>
      </c>
      <c r="Q59" s="38" t="s">
        <v>76</v>
      </c>
      <c r="R59" s="38" t="s">
        <v>167</v>
      </c>
      <c r="S59" s="38">
        <v>2</v>
      </c>
      <c r="T59" s="38">
        <f t="shared" ca="1" si="105"/>
        <v>53</v>
      </c>
      <c r="U59" s="15"/>
      <c r="V59" s="2" t="str">
        <f t="shared" ca="1" si="106"/>
        <v>#define EFF_METABALLS           ( 53U)    // Метоболз</v>
      </c>
      <c r="W59" s="2" t="str">
        <f t="shared" ca="1" si="107"/>
        <v>String("53. Метоболз,1,255,1,100,0;") +</v>
      </c>
      <c r="X59" s="2" t="str">
        <f t="shared" ca="1" si="108"/>
        <v>String("53. ,1,255,1,100,0;") +</v>
      </c>
      <c r="Y59" s="2" t="str">
        <f t="shared" ca="1" si="109"/>
        <v>String("53. ,1,255,1,100,0;") +</v>
      </c>
      <c r="Z59" s="2" t="str">
        <f t="shared" ca="1" si="94"/>
        <v>53;8;72;3;Метоболз</v>
      </c>
      <c r="AA59" s="2" t="str">
        <f t="shared" ca="1" si="110"/>
        <v xml:space="preserve">        case EFF_METABALLS:           LOW_DELAY_TICK { effTimer = millis(); MetaBallsRoutine();           Eff_Tick (); }  break;  // ( 53U) Метоболз</v>
      </c>
      <c r="AB59" s="2" t="str">
        <f ca="1">CONCATENATE("{""name"":""",A59,". ",C59,""",""spmin"":",L59,",""spmax"":",M59,",""scmin"":",N59,",""scmax"":",O59,",""type"":",P59,"},")</f>
        <v>{"name":"53. Метоболз","spmin":1,"spmax":255,"scmin":1,"scmax":100,"type":0},</v>
      </c>
      <c r="AC59" s="4" t="str">
        <f t="shared" ca="1" si="111"/>
        <v>"e53":0,</v>
      </c>
      <c r="AD59" s="4" t="str">
        <f t="shared" ca="1" si="112"/>
        <v>e53=[[e53]]&amp;</v>
      </c>
      <c r="AE59" s="4" t="str">
        <f t="shared" ca="1" si="113"/>
        <v>"e53":2,</v>
      </c>
      <c r="AF59" s="2" t="str">
        <f t="shared" ca="1" si="114"/>
        <v>{"type":"checkbox","class":"checkbox-big","name":"e53","title":"53. Метоболз","style":"font-size:16px;display:block","state":"{{e53}}"},</v>
      </c>
      <c r="AG59" s="2" t="str">
        <f t="shared" ca="1" si="115"/>
        <v>{"type":"h4","title":"53. Метоболз","style":"font-size:14px;width:85%;float:left"},{"type":"input","title":"папка","name":"e53","state":"{{e53}}","pattern":"[0-9]{1,2}","style":"background: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59" s="2" t="str">
        <f t="shared" ca="1" si="116"/>
        <v>"53": "53.Метоболз",</v>
      </c>
      <c r="AI59" s="16"/>
      <c r="AJ59" s="2" t="str">
        <f t="shared" ca="1" si="117"/>
        <v>53. Метоболз,1,255,1,100,0;</v>
      </c>
      <c r="AK59" s="2" t="str">
        <f t="shared" ca="1" si="103"/>
        <v>53.Метоболз</v>
      </c>
      <c r="AL59" s="29" t="s">
        <v>434</v>
      </c>
      <c r="AM59" s="2"/>
      <c r="AN59" s="17"/>
      <c r="AO59" s="2"/>
      <c r="AP59" s="2"/>
      <c r="AQ59" s="2"/>
      <c r="AR59" s="2"/>
      <c r="AS59" s="16"/>
      <c r="AT59" s="2"/>
      <c r="AU59" s="2"/>
      <c r="AV59" s="18"/>
      <c r="AW59" s="18"/>
      <c r="AX59" s="18"/>
      <c r="AY59" s="18"/>
      <c r="AZ59" s="18"/>
      <c r="BA59" s="18"/>
      <c r="BB59" s="18"/>
      <c r="BC59" s="18"/>
      <c r="BD59" s="18"/>
    </row>
    <row r="60" spans="1:56" ht="14.25" customHeight="1">
      <c r="A60" s="33">
        <f t="shared" ca="1" si="104"/>
        <v>54</v>
      </c>
      <c r="B60" s="38" t="s">
        <v>168</v>
      </c>
      <c r="C60" s="38" t="s">
        <v>169</v>
      </c>
      <c r="H60" s="38">
        <v>16</v>
      </c>
      <c r="I60" s="38">
        <v>70</v>
      </c>
      <c r="J60" s="38">
        <v>20</v>
      </c>
      <c r="L60" s="38">
        <v>0</v>
      </c>
      <c r="M60" s="38">
        <v>255</v>
      </c>
      <c r="N60" s="38">
        <v>1</v>
      </c>
      <c r="O60" s="38">
        <v>100</v>
      </c>
      <c r="P60" s="38">
        <v>0</v>
      </c>
      <c r="Q60" s="38" t="s">
        <v>170</v>
      </c>
      <c r="R60" s="38" t="s">
        <v>171</v>
      </c>
      <c r="S60" s="38">
        <v>2</v>
      </c>
      <c r="T60" s="38">
        <f t="shared" ca="1" si="105"/>
        <v>54</v>
      </c>
      <c r="U60" s="15"/>
      <c r="V60" s="2" t="str">
        <f t="shared" ca="1" si="106"/>
        <v>#define EFF_WEB_TOOLS           ( 54U)    // Мечта дизайнера</v>
      </c>
      <c r="W60" s="2" t="str">
        <f t="shared" ca="1" si="107"/>
        <v>String("54. Мечта дизайнера,0,255,1,100,0;") +</v>
      </c>
      <c r="X60" s="2" t="str">
        <f t="shared" ca="1" si="108"/>
        <v>String("54. ,0,255,1,100,0;") +</v>
      </c>
      <c r="Y60" s="2" t="str">
        <f t="shared" ca="1" si="109"/>
        <v>String("54. ,0,255,1,100,0;") +</v>
      </c>
      <c r="Z60" s="2" t="str">
        <f t="shared" ca="1" si="94"/>
        <v>54;16;70;20;Мечта дизайнера</v>
      </c>
      <c r="AA60" s="2" t="str">
        <f t="shared" ca="1" si="110"/>
        <v xml:space="preserve">        case EFF_WEB_TOOLS:           SOFT_DELAY_TICK { effTimer = millis(); WebTools();                   Eff_Tick (); }  break;  // ( 54U) Мечта дизайнера</v>
      </c>
      <c r="AB60" s="2" t="str">
        <f ca="1">CONCATENATE("{""name"":""",A60,". ",C60,""",""spmin"":",L60,",""spmax"":",M60,",""scmin"":",N60,",""scmax"":",O60,",""type"":",P60,"},")</f>
        <v>{"name":"54. Мечта дизайнера","spmin":0,"spmax":255,"scmin":1,"scmax":100,"type":0},</v>
      </c>
      <c r="AC60" s="4" t="str">
        <f t="shared" ca="1" si="111"/>
        <v>"e54":0,</v>
      </c>
      <c r="AD60" s="4" t="str">
        <f t="shared" ca="1" si="112"/>
        <v>e54=[[e54]]&amp;</v>
      </c>
      <c r="AE60" s="4" t="str">
        <f t="shared" ca="1" si="113"/>
        <v>"e54":2,</v>
      </c>
      <c r="AF60" s="2" t="str">
        <f t="shared" ca="1" si="114"/>
        <v>{"type":"checkbox","class":"checkbox-big","name":"e54","title":"54. Мечта дизайнера","style":"font-size:16px;display:block","state":"{{e54}}"},</v>
      </c>
      <c r="AG60" s="2" t="str">
        <f t="shared" ca="1" si="115"/>
        <v>{"type":"h4","title":"54. Мечта дизайнера","style":"font-size:14px;width:85%;float:left"},{"type":"input","title":"папка","name":"e54","state":"{{e54}}","pattern":"[0-9]{1,2}","style":"background: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0" s="2" t="str">
        <f t="shared" ca="1" si="116"/>
        <v>"54": "54.Мечта дизайнера",</v>
      </c>
      <c r="AI60" s="16"/>
      <c r="AJ60" s="2" t="str">
        <f t="shared" ca="1" si="117"/>
        <v>54. Мечта дизайнера,0,255,1,100,0;</v>
      </c>
      <c r="AK60" s="2" t="str">
        <f t="shared" ca="1" si="103"/>
        <v>54.Мечта дизайнера</v>
      </c>
      <c r="AL60" s="29" t="s">
        <v>434</v>
      </c>
      <c r="AM60" s="2"/>
      <c r="AN60" s="17"/>
      <c r="AO60" s="2"/>
      <c r="AP60" s="2"/>
      <c r="AQ60" s="2"/>
      <c r="AR60" s="2"/>
      <c r="AS60" s="16"/>
      <c r="AT60" s="2"/>
      <c r="AU60" s="2"/>
      <c r="AV60" s="18"/>
      <c r="AW60" s="18"/>
      <c r="AX60" s="18"/>
      <c r="AY60" s="18"/>
      <c r="AZ60" s="18"/>
      <c r="BA60" s="18"/>
      <c r="BB60" s="18"/>
      <c r="BC60" s="18"/>
      <c r="BD60" s="18"/>
    </row>
    <row r="61" spans="1:56" ht="14.25" customHeight="1">
      <c r="A61" s="37">
        <f t="shared" ca="1" si="104"/>
        <v>55</v>
      </c>
      <c r="B61" s="38" t="s">
        <v>172</v>
      </c>
      <c r="C61" s="38" t="s">
        <v>173</v>
      </c>
      <c r="H61" s="41">
        <v>8</v>
      </c>
      <c r="I61" s="38">
        <v>205</v>
      </c>
      <c r="J61" s="38">
        <v>50</v>
      </c>
      <c r="L61" s="38">
        <v>50</v>
      </c>
      <c r="M61" s="38">
        <v>255</v>
      </c>
      <c r="N61" s="38">
        <v>1</v>
      </c>
      <c r="O61" s="38">
        <v>100</v>
      </c>
      <c r="P61" s="38">
        <v>0</v>
      </c>
      <c r="Q61" s="38" t="s">
        <v>39</v>
      </c>
      <c r="R61" s="38" t="s">
        <v>174</v>
      </c>
      <c r="S61" s="38">
        <v>2</v>
      </c>
      <c r="T61" s="38">
        <f t="shared" ca="1" si="105"/>
        <v>55</v>
      </c>
      <c r="U61" s="15"/>
      <c r="V61" s="2" t="str">
        <f t="shared" ca="1" si="106"/>
        <v>#define EFF_MOSAIC              ( 55U)    // Мозайка</v>
      </c>
      <c r="W61" s="2" t="str">
        <f t="shared" ca="1" si="107"/>
        <v>String("55. Мозайка,50,255,1,100,0;") +</v>
      </c>
      <c r="X61" s="2" t="str">
        <f t="shared" ca="1" si="108"/>
        <v>String("55. ,50,255,1,100,0;") +</v>
      </c>
      <c r="Y61" s="2" t="str">
        <f t="shared" ca="1" si="109"/>
        <v>String("55. ,50,255,1,100,0;") +</v>
      </c>
      <c r="Z61" s="2" t="str">
        <f t="shared" ca="1" si="94"/>
        <v>55;8;205;50;Мозайка</v>
      </c>
      <c r="AA61" s="2" t="str">
        <f t="shared" ca="1" si="110"/>
        <v xml:space="preserve">        case EFF_MOSAIC:              DYNAMIC_DELAY_TICK { effTimer = millis(); squaresNdotsRoutine();        Eff_Tick (); }  break;  // ( 55U) Мозайка</v>
      </c>
      <c r="AB61" s="2" t="str">
        <f ca="1">CONCATENATE("{""name"":""",A61,". ",C61,""",""spmin"":",L61,",""spmax"":",M61,",""scmin"":",N61,",""scmax"":",O61,",""type"":",P61,"}")</f>
        <v>{"name":"55. Мозайка","spmin":50,"spmax":255,"scmin":1,"scmax":100,"type":0}</v>
      </c>
      <c r="AC61" s="4" t="str">
        <f t="shared" ca="1" si="111"/>
        <v>"e55":0,</v>
      </c>
      <c r="AD61" s="4" t="str">
        <f t="shared" ca="1" si="112"/>
        <v>e55=[[e55]]&amp;</v>
      </c>
      <c r="AE61" s="4" t="str">
        <f t="shared" ca="1" si="113"/>
        <v>"e55":2,</v>
      </c>
      <c r="AF61" s="2" t="str">
        <f t="shared" ca="1" si="114"/>
        <v>{"type":"checkbox","class":"checkbox-big","name":"e55","title":"55. Мозайка","style":"font-size:16px;display:block","state":"{{e55}}"},</v>
      </c>
      <c r="AG61" s="2" t="str">
        <f t="shared" ca="1" si="115"/>
        <v>{"type":"h4","title":"55. Мозайка","style":"font-size:14px;width:85%;float:left"},{"type":"input","title":"папка","name":"e55","state":"{{e55}}","pattern":"[0-9]{1,2}","style":"background: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1" s="2" t="str">
        <f t="shared" ca="1" si="116"/>
        <v>"55": "55.Мозайка",</v>
      </c>
      <c r="AI61" s="16"/>
      <c r="AJ61" s="2" t="str">
        <f t="shared" ca="1" si="117"/>
        <v>55. Мозайка,50,255,1,100,0;</v>
      </c>
      <c r="AK61" s="2" t="str">
        <f t="shared" ca="1" si="103"/>
        <v>55.Мозайка</v>
      </c>
      <c r="AL61" s="29" t="s">
        <v>434</v>
      </c>
      <c r="AM61" s="2"/>
      <c r="AN61" s="17"/>
      <c r="AO61" s="2"/>
      <c r="AP61" s="2"/>
      <c r="AQ61" s="2"/>
      <c r="AR61" s="2"/>
      <c r="AS61" s="16"/>
      <c r="AT61" s="2"/>
      <c r="AU61" s="2"/>
      <c r="AV61" s="18"/>
      <c r="AW61" s="18"/>
      <c r="AX61" s="18"/>
      <c r="AY61" s="18"/>
      <c r="AZ61" s="18"/>
      <c r="BA61" s="18"/>
      <c r="BB61" s="18"/>
      <c r="BC61" s="18"/>
      <c r="BD61" s="18"/>
    </row>
    <row r="62" spans="1:56" ht="14.25" customHeight="1">
      <c r="A62" s="33">
        <f t="shared" ca="1" si="104"/>
        <v>56</v>
      </c>
      <c r="B62" s="38" t="s">
        <v>175</v>
      </c>
      <c r="C62" s="38" t="s">
        <v>176</v>
      </c>
      <c r="H62" s="38">
        <v>10</v>
      </c>
      <c r="I62" s="38">
        <v>61</v>
      </c>
      <c r="J62" s="38">
        <v>20</v>
      </c>
      <c r="L62" s="38">
        <v>1</v>
      </c>
      <c r="M62" s="38">
        <v>255</v>
      </c>
      <c r="N62" s="38">
        <v>1</v>
      </c>
      <c r="O62" s="38">
        <v>100</v>
      </c>
      <c r="P62" s="38">
        <v>0</v>
      </c>
      <c r="Q62" s="38" t="s">
        <v>76</v>
      </c>
      <c r="R62" s="38" t="s">
        <v>177</v>
      </c>
      <c r="S62" s="38">
        <v>6</v>
      </c>
      <c r="T62" s="38">
        <f t="shared" ca="1" si="105"/>
        <v>56</v>
      </c>
      <c r="U62" s="15"/>
      <c r="V62" s="2" t="str">
        <f t="shared" ca="1" si="106"/>
        <v>#define EFF_BUTTERFLYS          ( 56U)    // Moтыльки</v>
      </c>
      <c r="W62" s="2" t="str">
        <f t="shared" ca="1" si="107"/>
        <v>String("56. Moтыльки,1,255,1,100,0;") +</v>
      </c>
      <c r="X62" s="2" t="str">
        <f t="shared" ca="1" si="108"/>
        <v>String("56. ,1,255,1,100,0;") +</v>
      </c>
      <c r="Y62" s="2" t="str">
        <f t="shared" ca="1" si="109"/>
        <v>String("56. ,1,255,1,100,0;") +</v>
      </c>
      <c r="Z62" s="2" t="str">
        <f t="shared" ca="1" si="94"/>
        <v>56;10;61;20;Moтыльки</v>
      </c>
      <c r="AA62" s="2" t="str">
        <f t="shared" ca="1" si="110"/>
        <v xml:space="preserve">        case EFF_BUTTERFLYS:          LOW_DELAY_TICK { effTimer = millis(); butterflysRoutine(true);      Eff_Tick (); }  break;  // ( 56U) Moтыльки</v>
      </c>
      <c r="AB62" s="2" t="str">
        <f t="shared" ref="AB62:AB66" ca="1" si="118">CONCATENATE("{""name"":""",A62,". ",C62,""",""spmin"":",L62,",""spmax"":",M62,",""scmin"":",N62,",""scmax"":",O62,",""type"":",P62,"},")</f>
        <v>{"name":"56. Moтыльки","spmin":1,"spmax":255,"scmin":1,"scmax":100,"type":0},</v>
      </c>
      <c r="AC62" s="4" t="str">
        <f t="shared" ca="1" si="111"/>
        <v>"e56":0,</v>
      </c>
      <c r="AD62" s="4" t="str">
        <f t="shared" ca="1" si="112"/>
        <v>e56=[[e56]]&amp;</v>
      </c>
      <c r="AE62" s="4" t="str">
        <f t="shared" ca="1" si="113"/>
        <v>"e56":6,</v>
      </c>
      <c r="AF62" s="2" t="str">
        <f t="shared" ca="1" si="114"/>
        <v>{"type":"checkbox","class":"checkbox-big","name":"e56","title":"56. Moтыльки","style":"font-size:16px;display:block","state":"{{e56}}"},</v>
      </c>
      <c r="AG62" s="2" t="str">
        <f t="shared" ca="1" si="115"/>
        <v>{"type":"h4","title":"56. Moтыльки","style":"font-size:14px;width:85%;float:left"},{"type":"input","title":"папка","name":"e56","state":"{{e56}}","pattern":"[0-9]{1,2}","style":"background: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2" s="2" t="str">
        <f t="shared" ca="1" si="116"/>
        <v>"56": "56.Moтыльки",</v>
      </c>
      <c r="AI62" s="16"/>
      <c r="AJ62" s="2" t="str">
        <f t="shared" ca="1" si="117"/>
        <v>56. Moтыльки,1,255,1,100,0;</v>
      </c>
      <c r="AK62" s="2" t="str">
        <f t="shared" ca="1" si="103"/>
        <v>56.Moтыльки</v>
      </c>
      <c r="AL62" s="29" t="s">
        <v>434</v>
      </c>
      <c r="AM62" s="2"/>
      <c r="AN62" s="17"/>
      <c r="AO62" s="2"/>
      <c r="AP62" s="2"/>
      <c r="AQ62" s="2"/>
      <c r="AR62" s="2"/>
      <c r="AS62" s="16"/>
      <c r="AT62" s="2"/>
      <c r="AU62" s="2"/>
      <c r="AV62" s="18"/>
      <c r="AW62" s="18"/>
      <c r="AX62" s="18"/>
      <c r="AY62" s="18"/>
      <c r="AZ62" s="18"/>
      <c r="BA62" s="18"/>
      <c r="BB62" s="18"/>
      <c r="BC62" s="18"/>
      <c r="BD62" s="18"/>
    </row>
    <row r="63" spans="1:56" ht="14.25" customHeight="1">
      <c r="A63" s="33">
        <f t="shared" ca="1" si="104"/>
        <v>57</v>
      </c>
      <c r="B63" s="38" t="s">
        <v>178</v>
      </c>
      <c r="C63" s="38" t="s">
        <v>179</v>
      </c>
      <c r="H63" s="38">
        <v>8</v>
      </c>
      <c r="I63" s="38">
        <v>255</v>
      </c>
      <c r="J63" s="38">
        <v>26</v>
      </c>
      <c r="L63" s="38">
        <v>1</v>
      </c>
      <c r="M63" s="38">
        <v>255</v>
      </c>
      <c r="N63" s="38">
        <v>1</v>
      </c>
      <c r="O63" s="38">
        <v>100</v>
      </c>
      <c r="P63" s="38">
        <v>0</v>
      </c>
      <c r="Q63" s="38" t="s">
        <v>76</v>
      </c>
      <c r="R63" s="38" t="s">
        <v>180</v>
      </c>
      <c r="S63" s="38">
        <v>2</v>
      </c>
      <c r="T63" s="38">
        <f t="shared" ca="1" si="105"/>
        <v>57</v>
      </c>
      <c r="U63" s="15"/>
      <c r="V63" s="2" t="str">
        <f t="shared" ca="1" si="106"/>
        <v>#define EFF_BBALLS              ( 57U)    // Мячики</v>
      </c>
      <c r="W63" s="2" t="str">
        <f t="shared" ca="1" si="107"/>
        <v>String("57. Мячики,1,255,1,100,0;") +</v>
      </c>
      <c r="X63" s="2" t="str">
        <f t="shared" ca="1" si="108"/>
        <v>String("57. ,1,255,1,100,0;") +</v>
      </c>
      <c r="Y63" s="2" t="str">
        <f t="shared" ca="1" si="109"/>
        <v>String("57. ,1,255,1,100,0;") +</v>
      </c>
      <c r="Z63" s="2" t="str">
        <f t="shared" ca="1" si="94"/>
        <v>57;8;255;26;Мячики</v>
      </c>
      <c r="AA63" s="2" t="str">
        <f t="shared" ca="1" si="110"/>
        <v xml:space="preserve">        case EFF_BBALLS:              LOW_DELAY_TICK { effTimer = millis(); BBallsRoutine();              Eff_Tick (); }  break;  // ( 57U) Мячики</v>
      </c>
      <c r="AB63" s="2" t="str">
        <f t="shared" ca="1" si="118"/>
        <v>{"name":"57. Мячики","spmin":1,"spmax":255,"scmin":1,"scmax":100,"type":0},</v>
      </c>
      <c r="AC63" s="4" t="str">
        <f t="shared" ca="1" si="111"/>
        <v>"e57":0,</v>
      </c>
      <c r="AD63" s="4" t="str">
        <f t="shared" ca="1" si="112"/>
        <v>e57=[[e57]]&amp;</v>
      </c>
      <c r="AE63" s="4" t="str">
        <f t="shared" ca="1" si="113"/>
        <v>"e57":2,</v>
      </c>
      <c r="AF63" s="2" t="str">
        <f t="shared" ca="1" si="114"/>
        <v>{"type":"checkbox","class":"checkbox-big","name":"e57","title":"57. Мячики","style":"font-size:16px;display:block","state":"{{e57}}"},</v>
      </c>
      <c r="AG63" s="2" t="str">
        <f t="shared" ca="1" si="115"/>
        <v>{"type":"h4","title":"57. Мячики","style":"font-size:14px;width:85%;float:left"},{"type":"input","title":"папка","name":"e57","state":"{{e57}}","pattern":"[0-9]{1,2}","style":"background: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3" s="2" t="str">
        <f t="shared" ca="1" si="116"/>
        <v>"57": "57.Мячики",</v>
      </c>
      <c r="AI63" s="16"/>
      <c r="AJ63" s="2" t="str">
        <f t="shared" ca="1" si="117"/>
        <v>57. Мячики,1,255,1,100,0;</v>
      </c>
      <c r="AK63" s="2" t="str">
        <f t="shared" ca="1" si="103"/>
        <v>57.Мячики</v>
      </c>
      <c r="AL63" s="29" t="s">
        <v>434</v>
      </c>
      <c r="AM63" s="2"/>
      <c r="AN63" s="17"/>
      <c r="AO63" s="2"/>
      <c r="AP63" s="2"/>
      <c r="AQ63" s="2"/>
      <c r="AR63" s="2"/>
      <c r="AS63" s="16"/>
      <c r="AT63" s="2"/>
      <c r="AU63" s="2"/>
      <c r="AV63" s="18"/>
      <c r="AW63" s="18"/>
      <c r="AX63" s="18"/>
      <c r="AY63" s="18"/>
      <c r="AZ63" s="18"/>
      <c r="BA63" s="18"/>
      <c r="BB63" s="18"/>
      <c r="BC63" s="18"/>
      <c r="BD63" s="18"/>
    </row>
    <row r="64" spans="1:56" ht="14.25" customHeight="1">
      <c r="A64" s="33">
        <f t="shared" ca="1" si="104"/>
        <v>58</v>
      </c>
      <c r="B64" s="38" t="s">
        <v>181</v>
      </c>
      <c r="C64" s="38" t="s">
        <v>182</v>
      </c>
      <c r="H64" s="38">
        <v>12</v>
      </c>
      <c r="I64" s="38">
        <v>255</v>
      </c>
      <c r="J64" s="38">
        <v>85</v>
      </c>
      <c r="L64" s="38">
        <v>1</v>
      </c>
      <c r="M64" s="38">
        <v>255</v>
      </c>
      <c r="N64" s="38">
        <v>1</v>
      </c>
      <c r="O64" s="38">
        <v>100</v>
      </c>
      <c r="P64" s="38">
        <v>0</v>
      </c>
      <c r="Q64" s="38" t="s">
        <v>76</v>
      </c>
      <c r="R64" s="38" t="s">
        <v>183</v>
      </c>
      <c r="S64" s="38">
        <v>2</v>
      </c>
      <c r="T64" s="38">
        <f t="shared" ca="1" si="105"/>
        <v>58</v>
      </c>
      <c r="U64" s="15"/>
      <c r="V64" s="2" t="str">
        <f t="shared" ca="1" si="106"/>
        <v>#define EFF_BALLS_BOUNCE        ( 58U)    // Мячики без границ</v>
      </c>
      <c r="W64" s="2" t="str">
        <f t="shared" ca="1" si="107"/>
        <v>String("58. Мячики без границ,1,255,1,100,0;") +</v>
      </c>
      <c r="X64" s="2" t="str">
        <f t="shared" ca="1" si="108"/>
        <v>String("58. ,1,255,1,100,0;") +</v>
      </c>
      <c r="Y64" s="2" t="str">
        <f t="shared" ca="1" si="109"/>
        <v>String("58. ,1,255,1,100,0;") +</v>
      </c>
      <c r="Z64" s="2" t="str">
        <f t="shared" ca="1" si="94"/>
        <v>58;12;255;85;Мячики без границ</v>
      </c>
      <c r="AA64" s="2" t="str">
        <f t="shared" ca="1" si="110"/>
        <v xml:space="preserve">        case EFF_BALLS_BOUNCE:        LOW_DELAY_TICK { effTimer = millis(); bounceRoutine();              Eff_Tick (); }  break;  // ( 58U) Мячики без границ</v>
      </c>
      <c r="AB64" s="2" t="str">
        <f t="shared" ca="1" si="118"/>
        <v>{"name":"58. Мячики без границ","spmin":1,"spmax":255,"scmin":1,"scmax":100,"type":0},</v>
      </c>
      <c r="AC64" s="4" t="str">
        <f t="shared" ca="1" si="111"/>
        <v>"e58":0,</v>
      </c>
      <c r="AD64" s="4" t="str">
        <f t="shared" ca="1" si="112"/>
        <v>e58=[[e58]]&amp;</v>
      </c>
      <c r="AE64" s="4" t="str">
        <f t="shared" ca="1" si="113"/>
        <v>"e58":2,</v>
      </c>
      <c r="AF64" s="2" t="str">
        <f t="shared" ca="1" si="114"/>
        <v>{"type":"checkbox","class":"checkbox-big","name":"e58","title":"58. Мячики без границ","style":"font-size:16px;display:block","state":"{{e58}}"},</v>
      </c>
      <c r="AG64" s="2" t="str">
        <f t="shared" ca="1" si="115"/>
        <v>{"type":"h4","title":"58. Мячики без границ","style":"font-size:14px;width:85%;float:left"},{"type":"input","title":"папка","name":"e58","state":"{{e58}}","pattern":"[0-9]{1,2}","style":"background: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4" s="2" t="str">
        <f t="shared" ca="1" si="116"/>
        <v>"58": "58.Мячики без границ",</v>
      </c>
      <c r="AI64" s="16"/>
      <c r="AJ64" s="2" t="str">
        <f t="shared" ca="1" si="117"/>
        <v>58. Мячики без границ,1,255,1,100,0;</v>
      </c>
      <c r="AK64" s="2" t="str">
        <f t="shared" ca="1" si="103"/>
        <v>58.Мячики без границ</v>
      </c>
      <c r="AL64" s="29" t="s">
        <v>434</v>
      </c>
      <c r="AM64" s="2"/>
      <c r="AN64" s="17"/>
      <c r="AO64" s="2"/>
      <c r="AP64" s="2"/>
      <c r="AQ64" s="2"/>
      <c r="AR64" s="2"/>
      <c r="AS64" s="16"/>
      <c r="AT64" s="2"/>
      <c r="AU64" s="2"/>
      <c r="AV64" s="18"/>
      <c r="AW64" s="18"/>
      <c r="AX64" s="18"/>
      <c r="AY64" s="18"/>
      <c r="AZ64" s="18"/>
      <c r="BA64" s="18"/>
      <c r="BB64" s="18"/>
      <c r="BC64" s="18"/>
      <c r="BD64" s="18"/>
    </row>
    <row r="65" spans="1:56" ht="14.25" customHeight="1">
      <c r="A65" s="33">
        <f t="shared" ca="1" si="104"/>
        <v>59</v>
      </c>
      <c r="B65" s="38" t="s">
        <v>184</v>
      </c>
      <c r="C65" s="38" t="s">
        <v>185</v>
      </c>
      <c r="H65" s="38">
        <v>15</v>
      </c>
      <c r="I65" s="38">
        <v>165</v>
      </c>
      <c r="J65" s="38">
        <v>30</v>
      </c>
      <c r="L65" s="38">
        <v>1</v>
      </c>
      <c r="M65" s="38">
        <v>255</v>
      </c>
      <c r="N65" s="38">
        <v>1</v>
      </c>
      <c r="O65" s="38">
        <v>100</v>
      </c>
      <c r="P65" s="38">
        <v>0</v>
      </c>
      <c r="Q65" s="38" t="s">
        <v>39</v>
      </c>
      <c r="R65" s="38" t="s">
        <v>186</v>
      </c>
      <c r="S65" s="38">
        <v>2</v>
      </c>
      <c r="T65" s="38">
        <f t="shared" ca="1" si="105"/>
        <v>59</v>
      </c>
      <c r="U65" s="15"/>
      <c r="V65" s="2" t="str">
        <f t="shared" ca="1" si="106"/>
        <v>#define EFF_CHRISTMAS_TREE      ( 59U)    // Новогодняя Елка</v>
      </c>
      <c r="W65" s="2" t="str">
        <f t="shared" ca="1" si="107"/>
        <v>String("59. Новогодняя Елка,1,255,1,100,0;") +</v>
      </c>
      <c r="X65" s="2" t="str">
        <f t="shared" ca="1" si="108"/>
        <v>String("59. ,1,255,1,100,0;") +</v>
      </c>
      <c r="Y65" s="2" t="str">
        <f t="shared" ca="1" si="109"/>
        <v>String("59. ,1,255,1,100,0;") +</v>
      </c>
      <c r="Z65" s="2" t="str">
        <f t="shared" ca="1" si="94"/>
        <v>59;15;165;30;Новогодняя Елка</v>
      </c>
      <c r="AA65" s="2" t="str">
        <f t="shared" ca="1" si="110"/>
        <v xml:space="preserve">        case EFF_CHRISTMAS_TREE:      DYNAMIC_DELAY_TICK { effTimer = millis(); ChristmasTree();              Eff_Tick (); }  break;  // ( 59U) Новогодняя Елка</v>
      </c>
      <c r="AB65" s="2" t="str">
        <f t="shared" ca="1" si="118"/>
        <v>{"name":"59. Новогодняя Елка","spmin":1,"spmax":255,"scmin":1,"scmax":100,"type":0},</v>
      </c>
      <c r="AC65" s="4" t="str">
        <f t="shared" ca="1" si="111"/>
        <v>"e59":0,</v>
      </c>
      <c r="AD65" s="4" t="str">
        <f t="shared" ca="1" si="112"/>
        <v>e59=[[e59]]&amp;</v>
      </c>
      <c r="AE65" s="4" t="str">
        <f t="shared" ca="1" si="113"/>
        <v>"e59":2,</v>
      </c>
      <c r="AF65" s="2" t="str">
        <f t="shared" ca="1" si="114"/>
        <v>{"type":"checkbox","class":"checkbox-big","name":"e59","title":"59. Новогодняя Елка","style":"font-size:16px;display:block","state":"{{e59}}"},</v>
      </c>
      <c r="AG65" s="2" t="str">
        <f t="shared" ca="1" si="115"/>
        <v>{"type":"h4","title":"59. Новогодняя Елка","style":"font-size:14px;width:85%;float:left"},{"type":"input","title":"папка","name":"e59","state":"{{e59}}","pattern":"[0-9]{1,2}","style":"background: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5" s="2" t="str">
        <f t="shared" ca="1" si="116"/>
        <v>"59": "59.Новогодняя Елка",</v>
      </c>
      <c r="AI65" s="16"/>
      <c r="AJ65" s="2" t="str">
        <f t="shared" ca="1" si="117"/>
        <v>59. Новогодняя Елка,1,255,1,100,0;</v>
      </c>
      <c r="AK65" s="2" t="str">
        <f t="shared" ca="1" si="103"/>
        <v>59.Новогодняя Елка</v>
      </c>
      <c r="AL65" s="29" t="s">
        <v>434</v>
      </c>
      <c r="AM65" s="2"/>
      <c r="AN65" s="17"/>
      <c r="AO65" s="2"/>
      <c r="AP65" s="2"/>
      <c r="AQ65" s="2"/>
      <c r="AR65" s="2"/>
      <c r="AS65" s="16"/>
      <c r="AT65" s="2"/>
      <c r="AU65" s="2"/>
      <c r="AV65" s="18"/>
      <c r="AW65" s="18"/>
      <c r="AX65" s="18"/>
      <c r="AY65" s="18"/>
      <c r="AZ65" s="18"/>
      <c r="BA65" s="18"/>
      <c r="BB65" s="18"/>
      <c r="BC65" s="18"/>
      <c r="BD65" s="18"/>
    </row>
    <row r="66" spans="1:56">
      <c r="A66" s="33">
        <f t="shared" ca="1" si="104"/>
        <v>60</v>
      </c>
      <c r="B66" s="38" t="s">
        <v>413</v>
      </c>
      <c r="C66" s="38" t="s">
        <v>415</v>
      </c>
      <c r="H66" s="38">
        <v>17</v>
      </c>
      <c r="I66" s="38">
        <v>50</v>
      </c>
      <c r="J66" s="38">
        <v>25</v>
      </c>
      <c r="L66" s="38">
        <v>1</v>
      </c>
      <c r="M66" s="38">
        <v>255</v>
      </c>
      <c r="N66" s="38">
        <v>50</v>
      </c>
      <c r="O66" s="38">
        <v>50</v>
      </c>
      <c r="P66" s="38">
        <v>0</v>
      </c>
      <c r="Q66" s="38" t="s">
        <v>35</v>
      </c>
      <c r="R66" s="38" t="s">
        <v>414</v>
      </c>
      <c r="S66" s="38">
        <v>2</v>
      </c>
      <c r="T66" s="38">
        <f t="shared" ca="1" si="105"/>
        <v>60</v>
      </c>
      <c r="V66" s="2" t="str">
        <f t="shared" ca="1" si="106"/>
        <v>#define EFF_NIGHTCITY           ( 60U)    // Ночной Город</v>
      </c>
      <c r="W66" s="2" t="str">
        <f t="shared" ca="1" si="107"/>
        <v>String("60. Ночной Город,1,255,50,50,0;") +</v>
      </c>
      <c r="X66" s="2" t="str">
        <f t="shared" ca="1" si="108"/>
        <v>String("60. ,1,255,50,50,0;") +</v>
      </c>
      <c r="Y66" s="2" t="str">
        <f t="shared" ca="1" si="109"/>
        <v>String("60. ,1,255,50,50,0;") +</v>
      </c>
      <c r="Z66" s="2" t="str">
        <f t="shared" ca="1" si="94"/>
        <v>60;17;50;25;Ночной Город</v>
      </c>
      <c r="AA66" s="2" t="str">
        <f t="shared" ca="1" si="110"/>
        <v xml:space="preserve">        case EFF_NIGHTCITY:           HIGH_DELAY_TICK { effTimer = millis(); NightCity();                  Eff_Tick (); }  break;  // ( 60U) Ночной Город</v>
      </c>
      <c r="AB66" s="2" t="str">
        <f t="shared" ca="1" si="118"/>
        <v>{"name":"60. Ночной Город","spmin":1,"spmax":255,"scmin":50,"scmax":50,"type":0},</v>
      </c>
      <c r="AC66" s="4" t="str">
        <f t="shared" ca="1" si="111"/>
        <v>"e60":0,</v>
      </c>
      <c r="AD66" s="4" t="str">
        <f t="shared" ca="1" si="112"/>
        <v>e60=[[e60]]&amp;</v>
      </c>
      <c r="AE66" s="4" t="str">
        <f t="shared" ca="1" si="113"/>
        <v>"e60":2,</v>
      </c>
      <c r="AF66" s="2" t="str">
        <f t="shared" ca="1" si="114"/>
        <v>{"type":"checkbox","class":"checkbox-big","name":"e60","title":"60. Ночной Город","style":"font-size:16px;display:block","state":"{{e60}}"},</v>
      </c>
      <c r="AG66" s="2" t="str">
        <f t="shared" ca="1" si="115"/>
        <v>{"type":"h4","title":"60. Ночной Город","style":"font-size:14px;width:85%;float:left"},{"type":"input","title":"папка","name":"e60","state":"{{e60}}","pattern":"[0-9]{1,2}","style":"background: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6" s="2" t="str">
        <f t="shared" ca="1" si="116"/>
        <v>"60": "60.Ночной Город",</v>
      </c>
      <c r="AI66" s="16"/>
      <c r="AJ66" s="2" t="str">
        <f t="shared" ca="1" si="117"/>
        <v>60. Ночной Город,1,255,50,50,0;</v>
      </c>
      <c r="AK66" s="2" t="str">
        <f t="shared" ca="1" si="103"/>
        <v>60.Ночной Город</v>
      </c>
      <c r="AL66" s="29" t="s">
        <v>434</v>
      </c>
    </row>
    <row r="67" spans="1:56" ht="14.25" customHeight="1">
      <c r="A67" s="33">
        <f t="shared" ref="A67:A79" ca="1" si="119">MAX(OFFSET(A67,-4,0,4,1))+1</f>
        <v>61</v>
      </c>
      <c r="B67" s="38" t="s">
        <v>187</v>
      </c>
      <c r="C67" s="38" t="s">
        <v>188</v>
      </c>
      <c r="H67" s="38">
        <v>12</v>
      </c>
      <c r="I67" s="38">
        <v>210</v>
      </c>
      <c r="J67" s="38">
        <v>1</v>
      </c>
      <c r="L67" s="38">
        <v>99</v>
      </c>
      <c r="M67" s="38">
        <v>255</v>
      </c>
      <c r="N67" s="38">
        <v>1</v>
      </c>
      <c r="O67" s="38">
        <v>100</v>
      </c>
      <c r="P67" s="38">
        <v>1</v>
      </c>
      <c r="Q67" s="38" t="s">
        <v>39</v>
      </c>
      <c r="R67" s="38" t="s">
        <v>189</v>
      </c>
      <c r="S67" s="38">
        <v>3</v>
      </c>
      <c r="T67" s="38">
        <f t="shared" ref="T67:T79" ca="1" si="120">MAX(OFFSET(T67,-4,0,4,1))+1</f>
        <v>61</v>
      </c>
      <c r="U67" s="15"/>
      <c r="V67" s="2" t="str">
        <f t="shared" ref="V67:V79" ca="1" si="121">CONCATENATE("#define EFF_",B67,REPT(" ",20-LEN(B67)),"(",REPT(" ",3-LEN(T67)),T67,"U)    // ",C67)</f>
        <v>#define EFF_FIRE                ( 61U)    // Огонь</v>
      </c>
      <c r="W67" s="2" t="str">
        <f t="shared" ref="W67:W78" ca="1" si="122">CONCATENATE("String(""",A67,". ",C67,",",L67,",",M67,",",N67,",",O67,",",P67,";"") +")</f>
        <v>String("61. Огонь,99,255,1,100,1;") +</v>
      </c>
      <c r="X67" s="2" t="str">
        <f t="shared" ref="X67:X78" ca="1" si="123">CONCATENATE("String(""",A67,". ",D67,",",L67,",",M67,",",N67,",",O67,",",P67,";"") +")</f>
        <v>String("61. ,99,255,1,100,1;") +</v>
      </c>
      <c r="Y67" s="2" t="str">
        <f t="shared" ref="Y67:Y78" ca="1" si="124">CONCATENATE("String(""",A67,". ",E67,",",L67,",",M67,",",N67,",",O67,",",P67,";"") +")</f>
        <v>String("61. ,99,255,1,100,1;") +</v>
      </c>
      <c r="Z67" s="2" t="str">
        <f t="shared" ca="1" si="94"/>
        <v>61;12;210;1;Огонь</v>
      </c>
      <c r="AA67" s="2" t="str">
        <f t="shared" ref="AA67:AA79" ca="1" si="125">CONCATENATE("        case EFF_",B67,":",REPT(" ",20-LEN(B67)),Q67," { effTimer = millis(); ",R67,REPT(" ",30-LEN(R67)),"Eff_Tick (); }","  break;  // (",REPT(" ",3-LEN(T67)),T67,"U) ",C67)</f>
        <v xml:space="preserve">        case EFF_FIRE:                DYNAMIC_DELAY_TICK { effTimer = millis(); fireRoutine(true);            Eff_Tick (); }  break;  // ( 61U) Огонь</v>
      </c>
      <c r="AB67" s="2" t="str">
        <f t="shared" ref="AB67:AB78" ca="1" si="126">CONCATENATE("{""name"":""",A67,". ",C67,""",""spmin"":",L67,",""spmax"":",M67,",""scmin"":",N67,",""scmax"":",O67,",""type"":",P67,"},")</f>
        <v>{"name":"61. Огонь","spmin":99,"spmax":255,"scmin":1,"scmax":100,"type":1},</v>
      </c>
      <c r="AC67" s="4" t="str">
        <f t="shared" ref="AC67:AC79" ca="1" si="127">CONCATENATE("""","e",T67,"""",":0,")</f>
        <v>"e61":0,</v>
      </c>
      <c r="AD67" s="4" t="str">
        <f t="shared" ref="AD67:AD79" ca="1" si="128">CONCATENATE("e",T67,"=[[e",T67,"]]&amp;")</f>
        <v>e61=[[e61]]&amp;</v>
      </c>
      <c r="AE67" s="4" t="str">
        <f t="shared" ref="AE67:AE79" ca="1" si="129">CONCATENATE("""","e",T67,"""",":",S67,",")</f>
        <v>"e61":3,</v>
      </c>
      <c r="AF67" s="2" t="str">
        <f t="shared" ca="1" si="114"/>
        <v>{"type":"checkbox","class":"checkbox-big","name":"e61","title":"61. Огонь","style":"font-size:16px;display:block","state":"{{e61}}"},</v>
      </c>
      <c r="AG67" s="2" t="str">
        <f t="shared" ca="1" si="115"/>
        <v>{"type":"h4","title":"61. Огонь","style":"font-size:14px;width:85%;float:left"},{"type":"input","title":"папка","name":"e61","state":"{{e61}}","pattern":"[0-9]{1,2}","style":"background: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7" s="2" t="str">
        <f t="shared" ref="AH67:AH79" ca="1" si="130">CONCATENATE("""",A67,"""",": """,A67,".",C67,""",")</f>
        <v>"61": "61.Огонь",</v>
      </c>
      <c r="AI67" s="16"/>
      <c r="AJ67" s="2" t="str">
        <f t="shared" ref="AJ67:AJ79" ca="1" si="131">CONCATENATE(A67,". ",C67,",",L67,",",M67,",",N67,",",O67,",",P67,";")</f>
        <v>61. Огонь,99,255,1,100,1;</v>
      </c>
      <c r="AK67" s="2" t="str">
        <f t="shared" ca="1" si="103"/>
        <v>61.Огонь</v>
      </c>
      <c r="AL67" s="29" t="s">
        <v>434</v>
      </c>
      <c r="AM67" s="2"/>
      <c r="AN67" s="17"/>
      <c r="AO67" s="2"/>
      <c r="AP67" s="2"/>
      <c r="AQ67" s="2"/>
      <c r="AR67" s="2"/>
      <c r="AS67" s="16"/>
      <c r="AT67" s="2"/>
      <c r="AU67" s="2"/>
      <c r="AV67" s="18"/>
      <c r="AW67" s="18"/>
      <c r="AX67" s="18"/>
      <c r="AY67" s="18"/>
      <c r="AZ67" s="18"/>
      <c r="BA67" s="18"/>
      <c r="BB67" s="18"/>
      <c r="BC67" s="18"/>
      <c r="BD67" s="18"/>
    </row>
    <row r="68" spans="1:56" ht="14.25" customHeight="1">
      <c r="A68" s="33">
        <f t="shared" ca="1" si="119"/>
        <v>62</v>
      </c>
      <c r="B68" s="38" t="s">
        <v>190</v>
      </c>
      <c r="C68" s="38" t="s">
        <v>191</v>
      </c>
      <c r="H68" s="38">
        <v>8</v>
      </c>
      <c r="I68" s="38">
        <v>220</v>
      </c>
      <c r="J68" s="38">
        <v>63</v>
      </c>
      <c r="L68" s="38">
        <v>99</v>
      </c>
      <c r="M68" s="38">
        <v>255</v>
      </c>
      <c r="N68" s="38">
        <v>1</v>
      </c>
      <c r="O68" s="38">
        <v>100</v>
      </c>
      <c r="P68" s="38">
        <v>0</v>
      </c>
      <c r="Q68" s="38" t="s">
        <v>39</v>
      </c>
      <c r="R68" s="38" t="s">
        <v>192</v>
      </c>
      <c r="S68" s="38">
        <v>3</v>
      </c>
      <c r="T68" s="38">
        <f t="shared" ca="1" si="120"/>
        <v>62</v>
      </c>
      <c r="U68" s="15"/>
      <c r="V68" s="2" t="str">
        <f t="shared" ca="1" si="121"/>
        <v>#define EFF_FIRE_2012           ( 62U)    // Огонь 2012</v>
      </c>
      <c r="W68" s="2" t="str">
        <f t="shared" ca="1" si="122"/>
        <v>String("62. Огонь 2012,99,255,1,100,0;") +</v>
      </c>
      <c r="X68" s="2" t="str">
        <f t="shared" ca="1" si="123"/>
        <v>String("62. ,99,255,1,100,0;") +</v>
      </c>
      <c r="Y68" s="2" t="str">
        <f t="shared" ca="1" si="124"/>
        <v>String("62. ,99,255,1,100,0;") +</v>
      </c>
      <c r="Z68" s="2" t="str">
        <f t="shared" ca="1" si="94"/>
        <v>62;8;220;63;Огонь 2012</v>
      </c>
      <c r="AA68" s="2" t="str">
        <f t="shared" ca="1" si="125"/>
        <v xml:space="preserve">        case EFF_FIRE_2012:           DYNAMIC_DELAY_TICK { effTimer = millis(); fire2012again();              Eff_Tick (); }  break;  // ( 62U) Огонь 2012</v>
      </c>
      <c r="AB68" s="2" t="str">
        <f t="shared" ca="1" si="126"/>
        <v>{"name":"62. Огонь 2012","spmin":99,"spmax":255,"scmin":1,"scmax":100,"type":0},</v>
      </c>
      <c r="AC68" s="4" t="str">
        <f t="shared" ca="1" si="127"/>
        <v>"e62":0,</v>
      </c>
      <c r="AD68" s="4" t="str">
        <f t="shared" ca="1" si="128"/>
        <v>e62=[[e62]]&amp;</v>
      </c>
      <c r="AE68" s="4" t="str">
        <f t="shared" ca="1" si="129"/>
        <v>"e62":3,</v>
      </c>
      <c r="AF68" s="2" t="str">
        <f t="shared" ca="1" si="114"/>
        <v>{"type":"checkbox","class":"checkbox-big","name":"e62","title":"62. Огонь 2012","style":"font-size:16px;display:block","state":"{{e62}}"},</v>
      </c>
      <c r="AG68" s="2" t="str">
        <f t="shared" ca="1" si="115"/>
        <v>{"type":"h4","title":"62. Огонь 2012","style":"font-size:14px;width:85%;float:left"},{"type":"input","title":"папка","name":"e62","state":"{{e62}}","pattern":"[0-9]{1,2}","style":"background: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8" s="2" t="str">
        <f t="shared" ca="1" si="130"/>
        <v>"62": "62.Огонь 2012",</v>
      </c>
      <c r="AI68" s="16"/>
      <c r="AJ68" s="2" t="str">
        <f t="shared" ca="1" si="131"/>
        <v>62. Огонь 2012,99,255,1,100,0;</v>
      </c>
      <c r="AK68" s="2" t="str">
        <f t="shared" ca="1" si="103"/>
        <v>62.Огонь 2012</v>
      </c>
      <c r="AL68" s="29" t="s">
        <v>434</v>
      </c>
      <c r="AM68" s="2"/>
      <c r="AN68" s="17"/>
      <c r="AO68" s="2"/>
      <c r="AP68" s="2"/>
      <c r="AQ68" s="2"/>
      <c r="AR68" s="2"/>
      <c r="AS68" s="16"/>
      <c r="AT68" s="2"/>
      <c r="AU68" s="2"/>
      <c r="AV68" s="18"/>
      <c r="AW68" s="18"/>
      <c r="AX68" s="18"/>
      <c r="AY68" s="18"/>
      <c r="AZ68" s="18"/>
      <c r="BA68" s="18"/>
      <c r="BB68" s="18"/>
      <c r="BC68" s="18"/>
      <c r="BD68" s="18"/>
    </row>
    <row r="69" spans="1:56" ht="14.25" customHeight="1">
      <c r="A69" s="33">
        <f t="shared" ca="1" si="119"/>
        <v>63</v>
      </c>
      <c r="B69" s="38" t="s">
        <v>193</v>
      </c>
      <c r="C69" s="38" t="s">
        <v>194</v>
      </c>
      <c r="H69" s="38">
        <v>15</v>
      </c>
      <c r="I69" s="38">
        <v>220</v>
      </c>
      <c r="J69" s="38">
        <v>15</v>
      </c>
      <c r="L69" s="38">
        <v>99</v>
      </c>
      <c r="M69" s="38">
        <v>255</v>
      </c>
      <c r="N69" s="38">
        <v>1</v>
      </c>
      <c r="O69" s="38">
        <v>100</v>
      </c>
      <c r="P69" s="38">
        <v>0</v>
      </c>
      <c r="Q69" s="38" t="s">
        <v>39</v>
      </c>
      <c r="R69" s="38" t="s">
        <v>195</v>
      </c>
      <c r="S69" s="38">
        <v>3</v>
      </c>
      <c r="T69" s="38">
        <f t="shared" ca="1" si="120"/>
        <v>63</v>
      </c>
      <c r="U69" s="15"/>
      <c r="V69" s="2" t="str">
        <f t="shared" ca="1" si="121"/>
        <v>#define EFF_FIRE_2018           ( 63U)    // Огонь 2018</v>
      </c>
      <c r="W69" s="2" t="str">
        <f t="shared" ca="1" si="122"/>
        <v>String("63. Огонь 2018,99,255,1,100,0;") +</v>
      </c>
      <c r="X69" s="2" t="str">
        <f t="shared" ca="1" si="123"/>
        <v>String("63. ,99,255,1,100,0;") +</v>
      </c>
      <c r="Y69" s="2" t="str">
        <f t="shared" ca="1" si="124"/>
        <v>String("63. ,99,255,1,100,0;") +</v>
      </c>
      <c r="Z69" s="2" t="str">
        <f t="shared" ca="1" si="94"/>
        <v>63;15;220;15;Огонь 2018</v>
      </c>
      <c r="AA69" s="2" t="str">
        <f t="shared" ca="1" si="125"/>
        <v xml:space="preserve">        case EFF_FIRE_2018:           DYNAMIC_DELAY_TICK { effTimer = millis(); Fire2018_2();                 Eff_Tick (); }  break;  // ( 63U) Огонь 2018</v>
      </c>
      <c r="AB69" s="2" t="str">
        <f t="shared" ca="1" si="126"/>
        <v>{"name":"63. Огонь 2018","spmin":99,"spmax":255,"scmin":1,"scmax":100,"type":0},</v>
      </c>
      <c r="AC69" s="4" t="str">
        <f t="shared" ca="1" si="127"/>
        <v>"e63":0,</v>
      </c>
      <c r="AD69" s="4" t="str">
        <f t="shared" ca="1" si="128"/>
        <v>e63=[[e63]]&amp;</v>
      </c>
      <c r="AE69" s="4" t="str">
        <f t="shared" ca="1" si="129"/>
        <v>"e63":3,</v>
      </c>
      <c r="AF69" s="2" t="str">
        <f t="shared" ca="1" si="114"/>
        <v>{"type":"checkbox","class":"checkbox-big","name":"e63","title":"63. Огонь 2018","style":"font-size:16px;display:block","state":"{{e63}}"},</v>
      </c>
      <c r="AG69" s="2" t="str">
        <f t="shared" ca="1" si="115"/>
        <v>{"type":"h4","title":"63. Огонь 2018","style":"font-size:14px;width:85%;float:left"},{"type":"input","title":"папка","name":"e63","state":"{{e63}}","pattern":"[0-9]{1,2}","style":"background: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69" s="2" t="str">
        <f t="shared" ca="1" si="130"/>
        <v>"63": "63.Огонь 2018",</v>
      </c>
      <c r="AI69" s="16"/>
      <c r="AJ69" s="2" t="str">
        <f t="shared" ca="1" si="131"/>
        <v>63. Огонь 2018,99,255,1,100,0;</v>
      </c>
      <c r="AK69" s="2" t="str">
        <f t="shared" ca="1" si="103"/>
        <v>63.Огонь 2018</v>
      </c>
      <c r="AL69" s="29" t="s">
        <v>434</v>
      </c>
      <c r="AM69" s="2"/>
      <c r="AN69" s="17"/>
      <c r="AO69" s="2"/>
      <c r="AP69" s="2"/>
      <c r="AQ69" s="2"/>
      <c r="AR69" s="2"/>
      <c r="AS69" s="16"/>
      <c r="AT69" s="2"/>
      <c r="AU69" s="2"/>
      <c r="AV69" s="18"/>
      <c r="AW69" s="18"/>
      <c r="AX69" s="18"/>
      <c r="AY69" s="18"/>
      <c r="AZ69" s="18"/>
      <c r="BA69" s="18"/>
      <c r="BB69" s="18"/>
      <c r="BC69" s="18"/>
      <c r="BD69" s="18"/>
    </row>
    <row r="70" spans="1:56" ht="14.25" customHeight="1">
      <c r="A70" s="33">
        <f t="shared" ca="1" si="119"/>
        <v>64</v>
      </c>
      <c r="B70" s="38" t="s">
        <v>196</v>
      </c>
      <c r="C70" s="38" t="s">
        <v>197</v>
      </c>
      <c r="H70" s="38">
        <v>10</v>
      </c>
      <c r="I70" s="38">
        <v>225</v>
      </c>
      <c r="J70" s="38">
        <v>11</v>
      </c>
      <c r="L70" s="38">
        <v>120</v>
      </c>
      <c r="M70" s="38">
        <v>255</v>
      </c>
      <c r="N70" s="38">
        <v>1</v>
      </c>
      <c r="O70" s="38">
        <v>100</v>
      </c>
      <c r="P70" s="38">
        <v>0</v>
      </c>
      <c r="Q70" s="38" t="s">
        <v>39</v>
      </c>
      <c r="R70" s="38" t="s">
        <v>198</v>
      </c>
      <c r="S70" s="38">
        <v>3</v>
      </c>
      <c r="T70" s="38">
        <f t="shared" ca="1" si="120"/>
        <v>64</v>
      </c>
      <c r="U70" s="15"/>
      <c r="V70" s="2" t="str">
        <f t="shared" ca="1" si="121"/>
        <v>#define EFF_FIRE_2020           ( 64U)    // Огонь 2020</v>
      </c>
      <c r="W70" s="2" t="str">
        <f t="shared" ca="1" si="122"/>
        <v>String("64. Огонь 2020,120,255,1,100,0;") +</v>
      </c>
      <c r="X70" s="2" t="str">
        <f t="shared" ca="1" si="123"/>
        <v>String("64. ,120,255,1,100,0;") +</v>
      </c>
      <c r="Y70" s="2" t="str">
        <f t="shared" ca="1" si="124"/>
        <v>String("64. ,120,255,1,100,0;") +</v>
      </c>
      <c r="Z70" s="2" t="str">
        <f t="shared" ca="1" si="94"/>
        <v>64;10;225;11;Огонь 2020</v>
      </c>
      <c r="AA70" s="2" t="str">
        <f t="shared" ca="1" si="125"/>
        <v xml:space="preserve">        case EFF_FIRE_2020:           DYNAMIC_DELAY_TICK { effTimer = millis(); fire2020Routine2();           Eff_Tick (); }  break;  // ( 64U) Огонь 2020</v>
      </c>
      <c r="AB70" s="2" t="str">
        <f t="shared" ca="1" si="126"/>
        <v>{"name":"64. Огонь 2020","spmin":120,"spmax":255,"scmin":1,"scmax":100,"type":0},</v>
      </c>
      <c r="AC70" s="4" t="str">
        <f t="shared" ca="1" si="127"/>
        <v>"e64":0,</v>
      </c>
      <c r="AD70" s="4" t="str">
        <f t="shared" ca="1" si="128"/>
        <v>e64=[[e64]]&amp;</v>
      </c>
      <c r="AE70" s="4" t="str">
        <f t="shared" ca="1" si="129"/>
        <v>"e64":3,</v>
      </c>
      <c r="AF70" s="2" t="str">
        <f t="shared" ca="1" si="114"/>
        <v>{"type":"checkbox","class":"checkbox-big","name":"e64","title":"64. Огонь 2020","style":"font-size:16px;display:block","state":"{{e64}}"},</v>
      </c>
      <c r="AG70" s="2" t="str">
        <f t="shared" ca="1" si="115"/>
        <v>{"type":"h4","title":"64. Огонь 2020","style":"font-size:14px;width:85%;float:left"},{"type":"input","title":"папка","name":"e64","state":"{{e64}}","pattern":"[0-9]{1,2}","style":"background: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0" s="2" t="str">
        <f t="shared" ca="1" si="130"/>
        <v>"64": "64.Огонь 2020",</v>
      </c>
      <c r="AI70" s="16"/>
      <c r="AJ70" s="2" t="str">
        <f t="shared" ca="1" si="131"/>
        <v>64. Огонь 2020,120,255,1,100,0;</v>
      </c>
      <c r="AK70" s="2" t="str">
        <f t="shared" ca="1" si="103"/>
        <v>64.Огонь 2020</v>
      </c>
      <c r="AL70" s="29" t="s">
        <v>434</v>
      </c>
      <c r="AM70" s="2"/>
      <c r="AN70" s="17"/>
      <c r="AO70" s="2"/>
      <c r="AP70" s="2"/>
      <c r="AQ70" s="2"/>
      <c r="AR70" s="2"/>
      <c r="AS70" s="16"/>
      <c r="AT70" s="2"/>
      <c r="AU70" s="2"/>
      <c r="AV70" s="18"/>
      <c r="AW70" s="18"/>
      <c r="AX70" s="18"/>
      <c r="AY70" s="18"/>
      <c r="AZ70" s="18"/>
      <c r="BA70" s="18"/>
      <c r="BB70" s="18"/>
      <c r="BC70" s="18"/>
      <c r="BD70" s="18"/>
    </row>
    <row r="71" spans="1:56" ht="14.25" customHeight="1">
      <c r="A71" s="33">
        <f t="shared" ca="1" si="119"/>
        <v>65</v>
      </c>
      <c r="B71" s="38" t="s">
        <v>199</v>
      </c>
      <c r="C71" s="38" t="s">
        <v>200</v>
      </c>
      <c r="H71" s="38">
        <v>12</v>
      </c>
      <c r="I71" s="38">
        <v>150</v>
      </c>
      <c r="J71" s="38">
        <v>22</v>
      </c>
      <c r="L71" s="38">
        <v>1</v>
      </c>
      <c r="M71" s="38">
        <v>255</v>
      </c>
      <c r="N71" s="38">
        <v>1</v>
      </c>
      <c r="O71" s="38">
        <v>100</v>
      </c>
      <c r="P71" s="38">
        <v>0</v>
      </c>
      <c r="Q71" s="38" t="s">
        <v>76</v>
      </c>
      <c r="R71" s="38" t="s">
        <v>201</v>
      </c>
      <c r="S71" s="38">
        <v>3</v>
      </c>
      <c r="T71" s="38">
        <f t="shared" ca="1" si="120"/>
        <v>65</v>
      </c>
      <c r="U71" s="15"/>
      <c r="V71" s="2" t="str">
        <f t="shared" ca="1" si="121"/>
        <v>#define EFF_FIRE_2021           ( 65U)    // Огонь 2021</v>
      </c>
      <c r="W71" s="2" t="str">
        <f t="shared" ca="1" si="122"/>
        <v>String("65. Огонь 2021,1,255,1,100,0;") +</v>
      </c>
      <c r="X71" s="2" t="str">
        <f t="shared" ca="1" si="123"/>
        <v>String("65. ,1,255,1,100,0;") +</v>
      </c>
      <c r="Y71" s="2" t="str">
        <f t="shared" ca="1" si="124"/>
        <v>String("65. ,1,255,1,100,0;") +</v>
      </c>
      <c r="Z71" s="2" t="str">
        <f t="shared" ca="1" si="94"/>
        <v>65;12;150;22;Огонь 2021</v>
      </c>
      <c r="AA71" s="2" t="str">
        <f t="shared" ca="1" si="125"/>
        <v xml:space="preserve">        case EFF_FIRE_2021:           LOW_DELAY_TICK { effTimer = millis(); Fire2021Routine();            Eff_Tick (); }  break;  // ( 65U) Огонь 2021</v>
      </c>
      <c r="AB71" s="2" t="str">
        <f t="shared" ca="1" si="126"/>
        <v>{"name":"65. Огонь 2021","spmin":1,"spmax":255,"scmin":1,"scmax":100,"type":0},</v>
      </c>
      <c r="AC71" s="4" t="str">
        <f t="shared" ca="1" si="127"/>
        <v>"e65":0,</v>
      </c>
      <c r="AD71" s="4" t="str">
        <f t="shared" ca="1" si="128"/>
        <v>e65=[[e65]]&amp;</v>
      </c>
      <c r="AE71" s="4" t="str">
        <f t="shared" ca="1" si="129"/>
        <v>"e65":3,</v>
      </c>
      <c r="AF71" s="2" t="str">
        <f t="shared" ca="1" si="114"/>
        <v>{"type":"checkbox","class":"checkbox-big","name":"e65","title":"65. Огонь 2021","style":"font-size:16px;display:block","state":"{{e65}}"},</v>
      </c>
      <c r="AG71" s="2" t="str">
        <f t="shared" ca="1" si="115"/>
        <v>{"type":"h4","title":"65. Огонь 2021","style":"font-size:14px;width:85%;float:left"},{"type":"input","title":"папка","name":"e65","state":"{{e65}}","pattern":"[0-9]{1,2}","style":"background: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1" s="2" t="str">
        <f t="shared" ca="1" si="130"/>
        <v>"65": "65.Огонь 2021",</v>
      </c>
      <c r="AI71" s="16"/>
      <c r="AJ71" s="2" t="str">
        <f t="shared" ca="1" si="131"/>
        <v>65. Огонь 2021,1,255,1,100,0;</v>
      </c>
      <c r="AK71" s="2" t="str">
        <f t="shared" ca="1" si="103"/>
        <v>65.Огонь 2021</v>
      </c>
      <c r="AL71" s="29" t="s">
        <v>434</v>
      </c>
      <c r="AM71" s="2"/>
      <c r="AN71" s="17"/>
      <c r="AO71" s="2"/>
      <c r="AP71" s="2"/>
      <c r="AQ71" s="2"/>
      <c r="AR71" s="2"/>
      <c r="AS71" s="16"/>
      <c r="AT71" s="2"/>
      <c r="AU71" s="2"/>
      <c r="AV71" s="18"/>
      <c r="AW71" s="18"/>
      <c r="AX71" s="18"/>
      <c r="AY71" s="18"/>
      <c r="AZ71" s="18"/>
      <c r="BA71" s="18"/>
      <c r="BB71" s="18"/>
      <c r="BC71" s="18"/>
      <c r="BD71" s="18"/>
    </row>
    <row r="72" spans="1:56" ht="14.25" customHeight="1">
      <c r="A72" s="33">
        <f t="shared" ca="1" si="119"/>
        <v>66</v>
      </c>
      <c r="B72" s="38" t="s">
        <v>202</v>
      </c>
      <c r="C72" s="38" t="s">
        <v>203</v>
      </c>
      <c r="H72" s="38">
        <v>13</v>
      </c>
      <c r="I72" s="38">
        <v>190</v>
      </c>
      <c r="J72" s="38">
        <v>15</v>
      </c>
      <c r="L72" s="38">
        <v>99</v>
      </c>
      <c r="M72" s="38">
        <v>255</v>
      </c>
      <c r="N72" s="38">
        <v>1</v>
      </c>
      <c r="O72" s="38">
        <v>100</v>
      </c>
      <c r="P72" s="38">
        <v>0</v>
      </c>
      <c r="Q72" s="38" t="s">
        <v>39</v>
      </c>
      <c r="R72" s="38" t="s">
        <v>204</v>
      </c>
      <c r="S72" s="38">
        <v>3</v>
      </c>
      <c r="T72" s="38">
        <f t="shared" ca="1" si="120"/>
        <v>66</v>
      </c>
      <c r="U72" s="15"/>
      <c r="V72" s="2" t="str">
        <f t="shared" ca="1" si="121"/>
        <v>#define EFF_FIREFLY_TOP         ( 66U)    // Огoнь верховой</v>
      </c>
      <c r="W72" s="2" t="str">
        <f t="shared" ca="1" si="122"/>
        <v>String("66. Огoнь верховой,99,255,1,100,0;") +</v>
      </c>
      <c r="X72" s="2" t="str">
        <f t="shared" ca="1" si="123"/>
        <v>String("66. ,99,255,1,100,0;") +</v>
      </c>
      <c r="Y72" s="2" t="str">
        <f t="shared" ca="1" si="124"/>
        <v>String("66. ,99,255,1,100,0;") +</v>
      </c>
      <c r="Z72" s="2" t="str">
        <f t="shared" ca="1" si="94"/>
        <v>66;13;190;15;Огoнь верховой</v>
      </c>
      <c r="AA72" s="2" t="str">
        <f t="shared" ca="1" si="125"/>
        <v xml:space="preserve">        case EFF_FIREFLY_TOP:         DYNAMIC_DELAY_TICK { effTimer = millis(); MultipleStream5();            Eff_Tick (); }  break;  // ( 66U) Огoнь верховой</v>
      </c>
      <c r="AB72" s="2" t="str">
        <f t="shared" ca="1" si="126"/>
        <v>{"name":"66. Огoнь верховой","spmin":99,"spmax":255,"scmin":1,"scmax":100,"type":0},</v>
      </c>
      <c r="AC72" s="4" t="str">
        <f t="shared" ca="1" si="127"/>
        <v>"e66":0,</v>
      </c>
      <c r="AD72" s="4" t="str">
        <f t="shared" ca="1" si="128"/>
        <v>e66=[[e66]]&amp;</v>
      </c>
      <c r="AE72" s="4" t="str">
        <f t="shared" ca="1" si="129"/>
        <v>"e66":3,</v>
      </c>
      <c r="AF72" s="2" t="str">
        <f t="shared" ca="1" si="114"/>
        <v>{"type":"checkbox","class":"checkbox-big","name":"e66","title":"66. Огoнь верховой","style":"font-size:16px;display:block","state":"{{e66}}"},</v>
      </c>
      <c r="AG72" s="2" t="str">
        <f t="shared" ca="1" si="115"/>
        <v>{"type":"h4","title":"66. Огoнь верховой","style":"font-size:14px;width:85%;float:left"},{"type":"input","title":"папка","name":"e66","state":"{{e66}}","pattern":"[0-9]{1,2}","style":"background: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2" s="2" t="str">
        <f t="shared" ca="1" si="130"/>
        <v>"66": "66.Огoнь верховой",</v>
      </c>
      <c r="AI72" s="16"/>
      <c r="AJ72" s="2" t="str">
        <f t="shared" ca="1" si="131"/>
        <v>66. Огoнь верховой,99,255,1,100,0;</v>
      </c>
      <c r="AK72" s="2" t="str">
        <f t="shared" ca="1" si="103"/>
        <v>66.Огoнь верховой</v>
      </c>
      <c r="AL72" s="29" t="s">
        <v>434</v>
      </c>
      <c r="AM72" s="2"/>
      <c r="AN72" s="17"/>
      <c r="AO72" s="2"/>
      <c r="AP72" s="2"/>
      <c r="AQ72" s="2"/>
      <c r="AR72" s="2"/>
      <c r="AS72" s="16"/>
      <c r="AT72" s="2"/>
      <c r="AU72" s="2"/>
      <c r="AV72" s="18"/>
      <c r="AW72" s="18"/>
      <c r="AX72" s="18"/>
      <c r="AY72" s="18"/>
      <c r="AZ72" s="18"/>
      <c r="BA72" s="18"/>
      <c r="BB72" s="18"/>
      <c r="BC72" s="18"/>
      <c r="BD72" s="18"/>
    </row>
    <row r="73" spans="1:56" ht="14.25" customHeight="1">
      <c r="A73" s="33">
        <f t="shared" ca="1" si="119"/>
        <v>67</v>
      </c>
      <c r="B73" s="38" t="s">
        <v>205</v>
      </c>
      <c r="C73" s="38" t="s">
        <v>206</v>
      </c>
      <c r="H73" s="38">
        <v>15</v>
      </c>
      <c r="I73" s="38">
        <v>200</v>
      </c>
      <c r="J73" s="38">
        <v>15</v>
      </c>
      <c r="L73" s="38">
        <v>99</v>
      </c>
      <c r="M73" s="38">
        <v>255</v>
      </c>
      <c r="N73" s="38">
        <v>1</v>
      </c>
      <c r="O73" s="38">
        <v>100</v>
      </c>
      <c r="P73" s="38">
        <v>0</v>
      </c>
      <c r="Q73" s="38" t="s">
        <v>39</v>
      </c>
      <c r="R73" s="38" t="s">
        <v>207</v>
      </c>
      <c r="S73" s="38">
        <v>3</v>
      </c>
      <c r="T73" s="38">
        <f t="shared" ca="1" si="120"/>
        <v>67</v>
      </c>
      <c r="U73" s="15"/>
      <c r="V73" s="2" t="str">
        <f t="shared" ca="1" si="121"/>
        <v>#define EFF_FIREFLY             ( 67U)    // Огoнь парящий</v>
      </c>
      <c r="W73" s="2" t="str">
        <f t="shared" ca="1" si="122"/>
        <v>String("67. Огoнь парящий,99,255,1,100,0;") +</v>
      </c>
      <c r="X73" s="2" t="str">
        <f t="shared" ca="1" si="123"/>
        <v>String("67. ,99,255,1,100,0;") +</v>
      </c>
      <c r="Y73" s="2" t="str">
        <f t="shared" ca="1" si="124"/>
        <v>String("67. ,99,255,1,100,0;") +</v>
      </c>
      <c r="Z73" s="2" t="str">
        <f t="shared" ca="1" si="94"/>
        <v>67;15;200;15;Огoнь парящий</v>
      </c>
      <c r="AA73" s="2" t="str">
        <f t="shared" ca="1" si="125"/>
        <v xml:space="preserve">        case EFF_FIREFLY:             DYNAMIC_DELAY_TICK { effTimer = millis(); MultipleStream3();            Eff_Tick (); }  break;  // ( 67U) Огoнь парящий</v>
      </c>
      <c r="AB73" s="2" t="str">
        <f t="shared" ca="1" si="126"/>
        <v>{"name":"67. Огoнь парящий","spmin":99,"spmax":255,"scmin":1,"scmax":100,"type":0},</v>
      </c>
      <c r="AC73" s="4" t="str">
        <f t="shared" ca="1" si="127"/>
        <v>"e67":0,</v>
      </c>
      <c r="AD73" s="4" t="str">
        <f t="shared" ca="1" si="128"/>
        <v>e67=[[e67]]&amp;</v>
      </c>
      <c r="AE73" s="4" t="str">
        <f t="shared" ca="1" si="129"/>
        <v>"e67":3,</v>
      </c>
      <c r="AF73" s="2" t="str">
        <f t="shared" ca="1" si="114"/>
        <v>{"type":"checkbox","class":"checkbox-big","name":"e67","title":"67. Огoнь парящий","style":"font-size:16px;display:block","state":"{{e67}}"},</v>
      </c>
      <c r="AG73" s="2" t="str">
        <f t="shared" ca="1" si="115"/>
        <v>{"type":"h4","title":"67. Огoнь парящий","style":"font-size:14px;width:85%;float:left"},{"type":"input","title":"папка","name":"e67","state":"{{e67}}","pattern":"[0-9]{1,2}","style":"background: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3" s="2" t="str">
        <f t="shared" ca="1" si="130"/>
        <v>"67": "67.Огoнь парящий",</v>
      </c>
      <c r="AI73" s="16"/>
      <c r="AJ73" s="2" t="str">
        <f t="shared" ca="1" si="131"/>
        <v>67. Огoнь парящий,99,255,1,100,0;</v>
      </c>
      <c r="AK73" s="2" t="str">
        <f t="shared" ca="1" si="103"/>
        <v>67.Огoнь парящий</v>
      </c>
      <c r="AL73" s="29" t="s">
        <v>434</v>
      </c>
      <c r="AM73" s="2"/>
      <c r="AN73" s="17"/>
      <c r="AO73" s="2"/>
      <c r="AP73" s="2"/>
      <c r="AQ73" s="2"/>
      <c r="AR73" s="2"/>
      <c r="AS73" s="16"/>
      <c r="AT73" s="2"/>
      <c r="AU73" s="2"/>
      <c r="AV73" s="18"/>
      <c r="AW73" s="18"/>
      <c r="AX73" s="18"/>
      <c r="AY73" s="18"/>
      <c r="AZ73" s="18"/>
      <c r="BA73" s="18"/>
      <c r="BB73" s="18"/>
      <c r="BC73" s="18"/>
      <c r="BD73" s="18"/>
    </row>
    <row r="74" spans="1:56">
      <c r="A74" s="33">
        <f t="shared" ca="1" si="119"/>
        <v>68</v>
      </c>
      <c r="B74" s="38" t="s">
        <v>208</v>
      </c>
      <c r="C74" s="38" t="s">
        <v>209</v>
      </c>
      <c r="H74" s="38">
        <v>15</v>
      </c>
      <c r="I74" s="38">
        <v>80</v>
      </c>
      <c r="J74" s="38">
        <v>64</v>
      </c>
      <c r="L74" s="38">
        <v>20</v>
      </c>
      <c r="M74" s="38">
        <v>100</v>
      </c>
      <c r="N74" s="38">
        <v>1</v>
      </c>
      <c r="O74" s="38">
        <v>100</v>
      </c>
      <c r="P74" s="38">
        <v>0</v>
      </c>
      <c r="Q74" s="38" t="s">
        <v>35</v>
      </c>
      <c r="R74" s="38" t="s">
        <v>210</v>
      </c>
      <c r="S74" s="38">
        <v>3</v>
      </c>
      <c r="T74" s="38">
        <f t="shared" ca="1" si="120"/>
        <v>68</v>
      </c>
      <c r="V74" s="2" t="str">
        <f t="shared" ca="1" si="121"/>
        <v>#define EFF_FIRESPARKS          ( 68U)    // Огонь с искрами</v>
      </c>
      <c r="W74" s="2" t="str">
        <f t="shared" ca="1" si="122"/>
        <v>String("68. Огонь с искрами,20,100,1,100,0;") +</v>
      </c>
      <c r="X74" s="2" t="str">
        <f t="shared" ca="1" si="123"/>
        <v>String("68. ,20,100,1,100,0;") +</v>
      </c>
      <c r="Y74" s="2" t="str">
        <f t="shared" ca="1" si="124"/>
        <v>String("68. ,20,100,1,100,0;") +</v>
      </c>
      <c r="Z74" s="2" t="str">
        <f t="shared" ca="1" si="94"/>
        <v>68;15;80;64;Огонь с искрами</v>
      </c>
      <c r="AA74" s="2" t="str">
        <f t="shared" ca="1" si="125"/>
        <v xml:space="preserve">        case EFF_FIRESPARKS:          HIGH_DELAY_TICK { effTimer = millis(); FireSparks();                 Eff_Tick (); }  break;  // ( 68U) Огонь с искрами</v>
      </c>
      <c r="AB74" s="2" t="str">
        <f t="shared" ca="1" si="126"/>
        <v>{"name":"68. Огонь с искрами","spmin":20,"spmax":100,"scmin":1,"scmax":100,"type":0},</v>
      </c>
      <c r="AC74" s="4" t="str">
        <f t="shared" ca="1" si="127"/>
        <v>"e68":0,</v>
      </c>
      <c r="AD74" s="4" t="str">
        <f t="shared" ca="1" si="128"/>
        <v>e68=[[e68]]&amp;</v>
      </c>
      <c r="AE74" s="4" t="str">
        <f t="shared" ca="1" si="129"/>
        <v>"e68":3,</v>
      </c>
      <c r="AF74" s="2" t="str">
        <f t="shared" ca="1" si="114"/>
        <v>{"type":"checkbox","class":"checkbox-big","name":"e68","title":"68. Огонь с искрами","style":"font-size:16px;display:block","state":"{{e68}}"},</v>
      </c>
      <c r="AG74" s="2" t="str">
        <f t="shared" ca="1" si="115"/>
        <v>{"type":"h4","title":"68. Огонь с искрами","style":"font-size:14px;width:85%;float:left"},{"type":"input","title":"папка","name":"e68","state":"{{e68}}","pattern":"[0-9]{1,2}","style":"background: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4" s="2" t="str">
        <f t="shared" ca="1" si="130"/>
        <v>"68": "68.Огонь с искрами",</v>
      </c>
      <c r="AI74" s="16"/>
      <c r="AJ74" s="2" t="str">
        <f t="shared" ca="1" si="131"/>
        <v>68. Огонь с искрами,20,100,1,100,0;</v>
      </c>
      <c r="AK74" s="2" t="str">
        <f t="shared" ca="1" si="103"/>
        <v>68.Огонь с искрами</v>
      </c>
      <c r="AL74" s="29" t="s">
        <v>434</v>
      </c>
    </row>
    <row r="75" spans="1:56" ht="14.25" customHeight="1">
      <c r="A75" s="33">
        <f t="shared" ca="1" si="119"/>
        <v>69</v>
      </c>
      <c r="B75" s="38" t="s">
        <v>211</v>
      </c>
      <c r="C75" s="38" t="s">
        <v>212</v>
      </c>
      <c r="H75" s="38">
        <v>10</v>
      </c>
      <c r="I75" s="38">
        <v>205</v>
      </c>
      <c r="J75" s="38">
        <v>149</v>
      </c>
      <c r="L75" s="38">
        <v>99</v>
      </c>
      <c r="M75" s="38">
        <v>255</v>
      </c>
      <c r="N75" s="38">
        <v>0</v>
      </c>
      <c r="O75" s="38">
        <v>255</v>
      </c>
      <c r="P75" s="38">
        <v>1</v>
      </c>
      <c r="Q75" s="38" t="s">
        <v>39</v>
      </c>
      <c r="R75" s="38" t="s">
        <v>213</v>
      </c>
      <c r="S75" s="38">
        <v>4</v>
      </c>
      <c r="T75" s="38">
        <f t="shared" ca="1" si="120"/>
        <v>69</v>
      </c>
      <c r="U75" s="15"/>
      <c r="V75" s="2" t="str">
        <f t="shared" ca="1" si="121"/>
        <v>#define EFF_COLOR_RAIN          ( 69U)    // Осадки</v>
      </c>
      <c r="W75" s="2" t="str">
        <f t="shared" ca="1" si="122"/>
        <v>String("69. Осадки,99,255,0,255,1;") +</v>
      </c>
      <c r="X75" s="2" t="str">
        <f t="shared" ca="1" si="123"/>
        <v>String("69. ,99,255,0,255,1;") +</v>
      </c>
      <c r="Y75" s="2" t="str">
        <f t="shared" ca="1" si="124"/>
        <v>String("69. ,99,255,0,255,1;") +</v>
      </c>
      <c r="Z75" s="2" t="str">
        <f t="shared" ca="1" si="94"/>
        <v>69;10;205;149;Осадки</v>
      </c>
      <c r="AA75" s="2" t="str">
        <f t="shared" ca="1" si="125"/>
        <v xml:space="preserve">        case EFF_COLOR_RAIN:          DYNAMIC_DELAY_TICK { effTimer = millis(); coloredRain();                Eff_Tick (); }  break;  // ( 69U) Осадки</v>
      </c>
      <c r="AB75" s="2" t="str">
        <f t="shared" ca="1" si="126"/>
        <v>{"name":"69. Осадки","spmin":99,"spmax":255,"scmin":0,"scmax":255,"type":1},</v>
      </c>
      <c r="AC75" s="4" t="str">
        <f t="shared" ca="1" si="127"/>
        <v>"e69":0,</v>
      </c>
      <c r="AD75" s="4" t="str">
        <f t="shared" ca="1" si="128"/>
        <v>e69=[[e69]]&amp;</v>
      </c>
      <c r="AE75" s="4" t="str">
        <f t="shared" ca="1" si="129"/>
        <v>"e69":4,</v>
      </c>
      <c r="AF75" s="2" t="str">
        <f t="shared" ca="1" si="114"/>
        <v>{"type":"checkbox","class":"checkbox-big","name":"e69","title":"69. Осадки","style":"font-size:16px;display:block","state":"{{e69}}"},</v>
      </c>
      <c r="AG75" s="2" t="str">
        <f t="shared" ca="1" si="115"/>
        <v>{"type":"h4","title":"69. Осадки","style":"font-size:14px;width:85%;float:left"},{"type":"input","title":"папка","name":"e69","state":"{{e69}}","pattern":"[0-9]{1,2}","style":"background: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5" s="2" t="str">
        <f t="shared" ca="1" si="130"/>
        <v>"69": "69.Осадки",</v>
      </c>
      <c r="AI75" s="16"/>
      <c r="AJ75" s="2" t="str">
        <f t="shared" ca="1" si="131"/>
        <v>69. Осадки,99,255,0,255,1;</v>
      </c>
      <c r="AK75" s="2" t="str">
        <f t="shared" ca="1" si="103"/>
        <v>69.Осадки</v>
      </c>
      <c r="AL75" s="29" t="s">
        <v>434</v>
      </c>
      <c r="AM75" s="2"/>
      <c r="AN75" s="17"/>
      <c r="AO75" s="2"/>
      <c r="AP75" s="2"/>
      <c r="AQ75" s="2"/>
      <c r="AR75" s="2"/>
      <c r="AS75" s="16"/>
      <c r="AT75" s="2"/>
      <c r="AU75" s="2"/>
      <c r="AV75" s="18"/>
      <c r="AW75" s="18"/>
      <c r="AX75" s="18"/>
      <c r="AY75" s="18"/>
      <c r="AZ75" s="18"/>
      <c r="BA75" s="18"/>
      <c r="BB75" s="18"/>
      <c r="BC75" s="18"/>
      <c r="BD75" s="18"/>
    </row>
    <row r="76" spans="1:56" ht="14.25" customHeight="1">
      <c r="A76" s="33">
        <f t="shared" ca="1" si="119"/>
        <v>70</v>
      </c>
      <c r="B76" s="38" t="s">
        <v>214</v>
      </c>
      <c r="C76" s="38" t="s">
        <v>215</v>
      </c>
      <c r="H76" s="38">
        <v>8</v>
      </c>
      <c r="I76" s="38">
        <v>208</v>
      </c>
      <c r="J76" s="38">
        <v>100</v>
      </c>
      <c r="L76" s="38">
        <v>99</v>
      </c>
      <c r="M76" s="38">
        <v>255</v>
      </c>
      <c r="N76" s="38">
        <v>1</v>
      </c>
      <c r="O76" s="38">
        <v>100</v>
      </c>
      <c r="P76" s="38">
        <v>0</v>
      </c>
      <c r="Q76" s="38" t="s">
        <v>39</v>
      </c>
      <c r="R76" s="38" t="s">
        <v>216</v>
      </c>
      <c r="S76" s="38">
        <v>2</v>
      </c>
      <c r="T76" s="38">
        <f t="shared" ca="1" si="120"/>
        <v>70</v>
      </c>
      <c r="U76" s="15"/>
      <c r="V76" s="2" t="str">
        <f t="shared" ca="1" si="121"/>
        <v>#define EFF_OSCILLATING         ( 70U)    // Осциллятор</v>
      </c>
      <c r="W76" s="2" t="str">
        <f t="shared" ca="1" si="122"/>
        <v>String("70. Осциллятор,99,255,1,100,0;") +</v>
      </c>
      <c r="X76" s="2" t="str">
        <f t="shared" ca="1" si="123"/>
        <v>String("70. ,99,255,1,100,0;") +</v>
      </c>
      <c r="Y76" s="2" t="str">
        <f t="shared" ca="1" si="124"/>
        <v>String("70. ,99,255,1,100,0;") +</v>
      </c>
      <c r="Z76" s="2" t="str">
        <f t="shared" ca="1" si="94"/>
        <v>70;8;208;100;Осциллятор</v>
      </c>
      <c r="AA76" s="2" t="str">
        <f t="shared" ca="1" si="125"/>
        <v xml:space="preserve">        case EFF_OSCILLATING:         DYNAMIC_DELAY_TICK { effTimer = millis(); oscillatingRoutine();         Eff_Tick (); }  break;  // ( 70U) Осциллятор</v>
      </c>
      <c r="AB76" s="2" t="str">
        <f t="shared" ca="1" si="126"/>
        <v>{"name":"70. Осциллятор","spmin":99,"spmax":255,"scmin":1,"scmax":100,"type":0},</v>
      </c>
      <c r="AC76" s="4" t="str">
        <f t="shared" ca="1" si="127"/>
        <v>"e70":0,</v>
      </c>
      <c r="AD76" s="4" t="str">
        <f t="shared" ca="1" si="128"/>
        <v>e70=[[e70]]&amp;</v>
      </c>
      <c r="AE76" s="4" t="str">
        <f t="shared" ca="1" si="129"/>
        <v>"e70":2,</v>
      </c>
      <c r="AF76" s="2" t="str">
        <f t="shared" ca="1" si="114"/>
        <v>{"type":"checkbox","class":"checkbox-big","name":"e70","title":"70. Осциллятор","style":"font-size:16px;display:block","state":"{{e70}}"},</v>
      </c>
      <c r="AG76" s="2" t="str">
        <f t="shared" ca="1" si="115"/>
        <v>{"type":"h4","title":"70. Осциллятор","style":"font-size:14px;width:85%;float:left"},{"type":"input","title":"папка","name":"e70","state":"{{e70}}","pattern":"[0-9]{1,2}","style":"background: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6" s="2" t="str">
        <f t="shared" ca="1" si="130"/>
        <v>"70": "70.Осциллятор",</v>
      </c>
      <c r="AI76" s="16"/>
      <c r="AJ76" s="2" t="str">
        <f t="shared" ca="1" si="131"/>
        <v>70. Осциллятор,99,255,1,100,0;</v>
      </c>
      <c r="AK76" s="2" t="str">
        <f t="shared" ca="1" si="103"/>
        <v>70.Осциллятор</v>
      </c>
      <c r="AL76" s="29" t="s">
        <v>434</v>
      </c>
      <c r="AM76" s="2"/>
      <c r="AN76" s="17"/>
      <c r="AO76" s="2"/>
      <c r="AP76" s="2"/>
      <c r="AQ76" s="2"/>
      <c r="AR76" s="2"/>
      <c r="AS76" s="16"/>
      <c r="AT76" s="2"/>
      <c r="AU76" s="2"/>
      <c r="AV76" s="18"/>
      <c r="AW76" s="18"/>
      <c r="AX76" s="18"/>
      <c r="AY76" s="18"/>
      <c r="AZ76" s="18"/>
      <c r="BA76" s="18"/>
      <c r="BB76" s="18"/>
      <c r="BC76" s="18"/>
      <c r="BD76" s="18"/>
    </row>
    <row r="77" spans="1:56" ht="14.25" customHeight="1">
      <c r="A77" s="33">
        <f t="shared" ca="1" si="119"/>
        <v>71</v>
      </c>
      <c r="B77" s="38" t="s">
        <v>217</v>
      </c>
      <c r="C77" s="38" t="s">
        <v>218</v>
      </c>
      <c r="H77" s="38">
        <v>10</v>
      </c>
      <c r="I77" s="38">
        <v>15</v>
      </c>
      <c r="J77" s="38">
        <v>34</v>
      </c>
      <c r="L77" s="38">
        <v>1</v>
      </c>
      <c r="M77" s="38">
        <v>15</v>
      </c>
      <c r="N77" s="38">
        <v>1</v>
      </c>
      <c r="O77" s="38">
        <v>100</v>
      </c>
      <c r="P77" s="38">
        <v>0</v>
      </c>
      <c r="Q77" s="38" t="s">
        <v>35</v>
      </c>
      <c r="R77" s="38" t="s">
        <v>219</v>
      </c>
      <c r="S77" s="38">
        <v>2</v>
      </c>
      <c r="T77" s="38">
        <f t="shared" ca="1" si="120"/>
        <v>71</v>
      </c>
      <c r="U77" s="15"/>
      <c r="V77" s="2" t="str">
        <f t="shared" ca="1" si="121"/>
        <v>#define EFF_CLOUDS              ( 71U)    // Облака</v>
      </c>
      <c r="W77" s="2" t="str">
        <f t="shared" ca="1" si="122"/>
        <v>String("71. Облака,1,15,1,100,0;") +</v>
      </c>
      <c r="X77" s="2" t="str">
        <f t="shared" ca="1" si="123"/>
        <v>String("71. ,1,15,1,100,0;") +</v>
      </c>
      <c r="Y77" s="2" t="str">
        <f t="shared" ca="1" si="124"/>
        <v>String("71. ,1,15,1,100,0;") +</v>
      </c>
      <c r="Z77" s="2" t="str">
        <f t="shared" ca="1" si="94"/>
        <v>71;10;15;34;Облака</v>
      </c>
      <c r="AA77" s="2" t="str">
        <f t="shared" ca="1" si="125"/>
        <v xml:space="preserve">        case EFF_CLOUDS:              HIGH_DELAY_TICK { effTimer = millis(); cloudsNoiseRoutine();         Eff_Tick (); }  break;  // ( 71U) Облака</v>
      </c>
      <c r="AB77" s="2" t="str">
        <f t="shared" ca="1" si="126"/>
        <v>{"name":"71. Облака","spmin":1,"spmax":15,"scmin":1,"scmax":100,"type":0},</v>
      </c>
      <c r="AC77" s="4" t="str">
        <f t="shared" ca="1" si="127"/>
        <v>"e71":0,</v>
      </c>
      <c r="AD77" s="4" t="str">
        <f t="shared" ca="1" si="128"/>
        <v>e71=[[e71]]&amp;</v>
      </c>
      <c r="AE77" s="4" t="str">
        <f t="shared" ca="1" si="129"/>
        <v>"e71":2,</v>
      </c>
      <c r="AF77" s="2" t="str">
        <f t="shared" ca="1" si="114"/>
        <v>{"type":"checkbox","class":"checkbox-big","name":"e71","title":"71. Облака","style":"font-size:16px;display:block","state":"{{e71}}"},</v>
      </c>
      <c r="AG77" s="2" t="str">
        <f t="shared" ca="1" si="115"/>
        <v>{"type":"h4","title":"71. Облака","style":"font-size:14px;width:85%;float:left"},{"type":"input","title":"папка","name":"e71","state":"{{e71}}","pattern":"[0-9]{1,2}","style":"background: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7" s="2" t="str">
        <f t="shared" ca="1" si="130"/>
        <v>"71": "71.Облака",</v>
      </c>
      <c r="AI77" s="16"/>
      <c r="AJ77" s="2" t="str">
        <f t="shared" ca="1" si="131"/>
        <v>71. Облака,1,15,1,100,0;</v>
      </c>
      <c r="AK77" s="2" t="str">
        <f t="shared" ca="1" si="103"/>
        <v>71.Облака</v>
      </c>
      <c r="AL77" s="29" t="s">
        <v>434</v>
      </c>
      <c r="AM77" s="2"/>
      <c r="AN77" s="17"/>
      <c r="AO77" s="2"/>
      <c r="AP77" s="2"/>
      <c r="AQ77" s="2"/>
      <c r="AR77" s="2"/>
      <c r="AS77" s="16"/>
      <c r="AT77" s="2"/>
      <c r="AU77" s="2"/>
      <c r="AV77" s="18"/>
      <c r="AW77" s="18"/>
      <c r="AX77" s="18"/>
      <c r="AY77" s="18"/>
      <c r="AZ77" s="18"/>
      <c r="BA77" s="18"/>
      <c r="BB77" s="18"/>
      <c r="BC77" s="18"/>
      <c r="BD77" s="18"/>
    </row>
    <row r="78" spans="1:56" s="28" customFormat="1" ht="14.25" customHeight="1">
      <c r="A78" s="33">
        <f t="shared" ca="1" si="119"/>
        <v>72</v>
      </c>
      <c r="B78" s="38" t="s">
        <v>220</v>
      </c>
      <c r="C78" s="38" t="s">
        <v>221</v>
      </c>
      <c r="D78" s="42"/>
      <c r="E78" s="42"/>
      <c r="F78" s="42"/>
      <c r="G78" s="42"/>
      <c r="H78" s="38">
        <v>10</v>
      </c>
      <c r="I78" s="38">
        <v>8</v>
      </c>
      <c r="J78" s="38">
        <v>12</v>
      </c>
      <c r="K78" s="42"/>
      <c r="L78" s="38">
        <v>2</v>
      </c>
      <c r="M78" s="38">
        <v>15</v>
      </c>
      <c r="N78" s="38">
        <v>4</v>
      </c>
      <c r="O78" s="38">
        <v>30</v>
      </c>
      <c r="P78" s="38">
        <v>0</v>
      </c>
      <c r="Q78" s="38" t="s">
        <v>35</v>
      </c>
      <c r="R78" s="38" t="s">
        <v>222</v>
      </c>
      <c r="S78" s="38">
        <v>5</v>
      </c>
      <c r="T78" s="38">
        <f t="shared" ca="1" si="120"/>
        <v>72</v>
      </c>
      <c r="U78" s="30"/>
      <c r="V78" s="29" t="str">
        <f t="shared" ca="1" si="121"/>
        <v>#define EFF_OCEAN               ( 72U)    // Океан</v>
      </c>
      <c r="W78" s="29" t="str">
        <f t="shared" ca="1" si="122"/>
        <v>String("72. Океан,2,15,4,30,0;") +</v>
      </c>
      <c r="X78" s="29" t="str">
        <f t="shared" ca="1" si="123"/>
        <v>String("72. ,2,15,4,30,0;") +</v>
      </c>
      <c r="Y78" s="29" t="str">
        <f t="shared" ca="1" si="124"/>
        <v>String("72. ,2,15,4,30,0;") +</v>
      </c>
      <c r="Z78" s="2" t="str">
        <f t="shared" ca="1" si="94"/>
        <v>72;10;8;12;Океан</v>
      </c>
      <c r="AA78" s="29" t="str">
        <f t="shared" ca="1" si="125"/>
        <v xml:space="preserve">        case EFF_OCEAN:               HIGH_DELAY_TICK { effTimer = millis(); oceanNoiseRoutine();          Eff_Tick (); }  break;  // ( 72U) Океан</v>
      </c>
      <c r="AB78" s="29" t="str">
        <f t="shared" ca="1" si="126"/>
        <v>{"name":"72. Океан","spmin":2,"spmax":15,"scmin":4,"scmax":30,"type":0},</v>
      </c>
      <c r="AC78" s="31" t="str">
        <f t="shared" ca="1" si="127"/>
        <v>"e72":0,</v>
      </c>
      <c r="AD78" s="31" t="str">
        <f t="shared" ca="1" si="128"/>
        <v>e72=[[e72]]&amp;</v>
      </c>
      <c r="AE78" s="31" t="str">
        <f t="shared" ca="1" si="129"/>
        <v>"e72":5,</v>
      </c>
      <c r="AF78" s="2" t="str">
        <f t="shared" ca="1" si="114"/>
        <v>{"type":"checkbox","class":"checkbox-big","name":"e72","title":"72. Океан","style":"font-size:16px;display:block","state":"{{e72}}"},</v>
      </c>
      <c r="AG78" s="2" t="str">
        <f t="shared" ca="1" si="115"/>
        <v>{"type":"h4","title":"72. Океан","style":"font-size:14px;width:85%;float:left"},{"type":"input","title":"папка","name":"e72","state":"{{e72}}","pattern":"[0-9]{1,2}","style":"background: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8" s="29" t="str">
        <f t="shared" ca="1" si="130"/>
        <v>"72": "72.Океан",</v>
      </c>
      <c r="AI78" s="29"/>
      <c r="AJ78" s="29" t="str">
        <f t="shared" ca="1" si="131"/>
        <v>72. Океан,2,15,4,30,0;</v>
      </c>
      <c r="AK78" s="2" t="str">
        <f t="shared" ca="1" si="103"/>
        <v>72.Океан</v>
      </c>
      <c r="AL78" s="29" t="s">
        <v>434</v>
      </c>
      <c r="AM78" s="29"/>
      <c r="AN78" s="32"/>
      <c r="AO78" s="29"/>
      <c r="AP78" s="29"/>
      <c r="AQ78" s="29"/>
      <c r="AR78" s="29"/>
      <c r="AS78" s="29"/>
      <c r="AT78" s="29"/>
      <c r="AU78" s="29"/>
    </row>
    <row r="79" spans="1:56" s="29" customFormat="1">
      <c r="A79" s="33">
        <f t="shared" ca="1" si="119"/>
        <v>73</v>
      </c>
      <c r="B79" s="38" t="s">
        <v>391</v>
      </c>
      <c r="C79" s="38" t="s">
        <v>372</v>
      </c>
      <c r="D79" s="42"/>
      <c r="E79" s="42"/>
      <c r="F79" s="42"/>
      <c r="G79" s="42"/>
      <c r="H79" s="38">
        <v>8</v>
      </c>
      <c r="I79" s="38">
        <v>200</v>
      </c>
      <c r="J79" s="38">
        <v>51</v>
      </c>
      <c r="K79" s="42"/>
      <c r="L79" s="38">
        <v>150</v>
      </c>
      <c r="M79" s="38">
        <v>255</v>
      </c>
      <c r="N79" s="38">
        <v>1</v>
      </c>
      <c r="O79" s="38">
        <v>100</v>
      </c>
      <c r="P79" s="38">
        <v>0</v>
      </c>
      <c r="Q79" s="38" t="s">
        <v>39</v>
      </c>
      <c r="R79" s="38" t="s">
        <v>382</v>
      </c>
      <c r="S79" s="38">
        <v>2</v>
      </c>
      <c r="T79" s="38">
        <f t="shared" ca="1" si="120"/>
        <v>73</v>
      </c>
      <c r="U79" s="30"/>
      <c r="V79" s="29" t="str">
        <f t="shared" ca="1" si="121"/>
        <v>#define EFF_OCTOPUS             ( 73U)    // Осьминог</v>
      </c>
      <c r="Z79" s="2" t="str">
        <f t="shared" ca="1" si="94"/>
        <v>73;8;200;51;Осьминог</v>
      </c>
      <c r="AA79" s="29" t="str">
        <f t="shared" ca="1" si="125"/>
        <v xml:space="preserve">        case EFF_OCTOPUS:             DYNAMIC_DELAY_TICK { effTimer = millis(); Octopus();                    Eff_Tick (); }  break;  // ( 73U) Осьминог</v>
      </c>
      <c r="AC79" s="31" t="str">
        <f t="shared" ca="1" si="127"/>
        <v>"e73":0,</v>
      </c>
      <c r="AD79" s="31" t="str">
        <f t="shared" ca="1" si="128"/>
        <v>e73=[[e73]]&amp;</v>
      </c>
      <c r="AE79" s="31" t="str">
        <f t="shared" ca="1" si="129"/>
        <v>"e73":2,</v>
      </c>
      <c r="AF79" s="2" t="str">
        <f t="shared" ca="1" si="114"/>
        <v>{"type":"checkbox","class":"checkbox-big","name":"e73","title":"73. Осьминог","style":"font-size:16px;display:block","state":"{{e73}}"},</v>
      </c>
      <c r="AG79" s="2" t="str">
        <f t="shared" ca="1" si="115"/>
        <v>{"type":"h4","title":"73. Осьминог","style":"font-size:14px;width:85%;float:left"},{"type":"input","title":"папка","name":"e73","state":"{{e73}}","pattern":"[0-9]{1,2}","style":"background: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79" s="29" t="str">
        <f t="shared" ca="1" si="130"/>
        <v>"73": "73.Осьминог",</v>
      </c>
      <c r="AJ79" s="29" t="str">
        <f t="shared" ca="1" si="131"/>
        <v>73. Осьминог,150,255,1,100,0;</v>
      </c>
      <c r="AK79" s="2" t="str">
        <f t="shared" ca="1" si="103"/>
        <v>73.Осьминог</v>
      </c>
      <c r="AL79" s="29" t="s">
        <v>434</v>
      </c>
    </row>
    <row r="80" spans="1:56" s="28" customFormat="1" ht="14.25" customHeight="1">
      <c r="A80" s="33">
        <f t="shared" ref="A80:A86" ca="1" si="132">MAX(OFFSET(A80,-4,0,4,1))+1</f>
        <v>74</v>
      </c>
      <c r="B80" s="38" t="s">
        <v>223</v>
      </c>
      <c r="C80" s="38" t="s">
        <v>224</v>
      </c>
      <c r="D80" s="42"/>
      <c r="E80" s="42"/>
      <c r="F80" s="42"/>
      <c r="G80" s="42"/>
      <c r="H80" s="38">
        <v>10</v>
      </c>
      <c r="I80" s="38">
        <v>5</v>
      </c>
      <c r="J80" s="38">
        <v>12</v>
      </c>
      <c r="K80" s="42"/>
      <c r="L80" s="38">
        <v>1</v>
      </c>
      <c r="M80" s="38">
        <v>30</v>
      </c>
      <c r="N80" s="38">
        <v>1</v>
      </c>
      <c r="O80" s="38">
        <v>100</v>
      </c>
      <c r="P80" s="38">
        <v>0</v>
      </c>
      <c r="Q80" s="38" t="s">
        <v>35</v>
      </c>
      <c r="R80" s="38" t="s">
        <v>225</v>
      </c>
      <c r="S80" s="38">
        <v>2</v>
      </c>
      <c r="T80" s="38">
        <f t="shared" ref="T80:T86" ca="1" si="133">MAX(OFFSET(T80,-4,0,4,1))+1</f>
        <v>74</v>
      </c>
      <c r="U80" s="30"/>
      <c r="V80" s="29" t="str">
        <f t="shared" ref="V80:V86" ca="1" si="134">CONCATENATE("#define EFF_",B80,REPT(" ",20-LEN(B80)),"(",REPT(" ",3-LEN(T80)),T80,"U)    // ",C80)</f>
        <v>#define EFF_RAINBOW_STRIPE      ( 74U)    // Павлин</v>
      </c>
      <c r="W80" s="29" t="str">
        <f t="shared" ref="W80:W86" ca="1" si="135">CONCATENATE("String(""",A80,". ",C80,",",L80,",",M80,",",N80,",",O80,",",P80,";"") +")</f>
        <v>String("74. Павлин,1,30,1,100,0;") +</v>
      </c>
      <c r="X80" s="29" t="str">
        <f t="shared" ref="X80:X86" ca="1" si="136">CONCATENATE("String(""",A80,". ",D80,",",L80,",",M80,",",N80,",",O80,",",P80,";"") +")</f>
        <v>String("74. ,1,30,1,100,0;") +</v>
      </c>
      <c r="Y80" s="29" t="str">
        <f t="shared" ref="Y80:Y86" ca="1" si="137">CONCATENATE("String(""",A80,". ",E80,",",L80,",",M80,",",N80,",",O80,",",P80,";"") +")</f>
        <v>String("74. ,1,30,1,100,0;") +</v>
      </c>
      <c r="Z80" s="2" t="str">
        <f t="shared" ca="1" si="94"/>
        <v>74;10;5;12;Павлин</v>
      </c>
      <c r="AA80" s="29" t="str">
        <f t="shared" ref="AA80:AA86" ca="1" si="138">CONCATENATE("        case EFF_",B80,":",REPT(" ",20-LEN(B80)),Q80," { effTimer = millis(); ",R80,REPT(" ",30-LEN(R80)),"Eff_Tick (); }","  break;  // (",REPT(" ",3-LEN(T80)),T80,"U) ",C80)</f>
        <v xml:space="preserve">        case EFF_RAINBOW_STRIPE:      HIGH_DELAY_TICK { effTimer = millis(); rainbowStripeNoiseRoutine();  Eff_Tick (); }  break;  // ( 74U) Павлин</v>
      </c>
      <c r="AC80" s="31" t="str">
        <f t="shared" ref="AC80:AC86" ca="1" si="139">CONCATENATE("""","e",T80,"""",":0,")</f>
        <v>"e74":0,</v>
      </c>
      <c r="AD80" s="31" t="str">
        <f t="shared" ref="AD80:AD86" ca="1" si="140">CONCATENATE("e",T80,"=[[e",T80,"]]&amp;")</f>
        <v>e74=[[e74]]&amp;</v>
      </c>
      <c r="AE80" s="31" t="str">
        <f t="shared" ref="AE80:AE86" ca="1" si="141">CONCATENATE("""","e",T80,"""",":",S80,",")</f>
        <v>"e74":2,</v>
      </c>
      <c r="AF80" s="2" t="str">
        <f t="shared" ca="1" si="114"/>
        <v>{"type":"checkbox","class":"checkbox-big","name":"e74","title":"74. Павлин","style":"font-size:16px;display:block","state":"{{e74}}"},</v>
      </c>
      <c r="AG80" s="2" t="str">
        <f t="shared" ca="1" si="115"/>
        <v>{"type":"h4","title":"74. Павлин","style":"font-size:14px;width:85%;float:left"},{"type":"input","title":"папка","name":"e74","state":"{{e74}}","pattern":"[0-9]{1,2}","style":"background: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0" s="29" t="str">
        <f t="shared" ref="AH80:AH86" ca="1" si="142">CONCATENATE("""",A80,"""",": """,A80,".",C80,""",")</f>
        <v>"74": "74.Павлин",</v>
      </c>
      <c r="AI80" s="29"/>
      <c r="AJ80" s="29" t="str">
        <f t="shared" ref="AJ80:AJ86" ca="1" si="143">CONCATENATE(A80,". ",C80,",",L80,",",M80,",",N80,",",O80,",",P80,";")</f>
        <v>74. Павлин,1,30,1,100,0;</v>
      </c>
      <c r="AK80" s="2" t="str">
        <f t="shared" ca="1" si="103"/>
        <v>74.Павлин</v>
      </c>
      <c r="AL80" s="29" t="s">
        <v>434</v>
      </c>
      <c r="AM80" s="29"/>
      <c r="AN80" s="32"/>
      <c r="AO80" s="29"/>
      <c r="AP80" s="29"/>
      <c r="AQ80" s="29"/>
      <c r="AR80" s="29"/>
      <c r="AS80" s="29"/>
      <c r="AT80" s="29"/>
      <c r="AU80" s="29"/>
    </row>
    <row r="81" spans="1:56" ht="14.25" customHeight="1">
      <c r="A81" s="33">
        <f t="shared" ca="1" si="132"/>
        <v>75</v>
      </c>
      <c r="B81" s="38" t="s">
        <v>226</v>
      </c>
      <c r="C81" s="38" t="s">
        <v>227</v>
      </c>
      <c r="H81" s="38">
        <v>10</v>
      </c>
      <c r="I81" s="38">
        <v>150</v>
      </c>
      <c r="J81" s="38">
        <v>1</v>
      </c>
      <c r="L81" s="38">
        <v>15</v>
      </c>
      <c r="M81" s="38">
        <v>255</v>
      </c>
      <c r="N81" s="38">
        <v>1</v>
      </c>
      <c r="O81" s="38">
        <v>100</v>
      </c>
      <c r="P81" s="38">
        <v>1</v>
      </c>
      <c r="Q81" s="38" t="s">
        <v>39</v>
      </c>
      <c r="R81" s="38" t="s">
        <v>228</v>
      </c>
      <c r="S81" s="38">
        <v>2</v>
      </c>
      <c r="T81" s="38">
        <f t="shared" ca="1" si="133"/>
        <v>75</v>
      </c>
      <c r="U81" s="15"/>
      <c r="V81" s="2" t="str">
        <f t="shared" ca="1" si="134"/>
        <v>#define EFF_HOURGLASS           ( 75U)    // Песочные часы</v>
      </c>
      <c r="W81" s="2" t="str">
        <f t="shared" ca="1" si="135"/>
        <v>String("75. Песочные часы,15,255,1,100,1;") +</v>
      </c>
      <c r="X81" s="2" t="str">
        <f t="shared" ca="1" si="136"/>
        <v>String("75. ,15,255,1,100,1;") +</v>
      </c>
      <c r="Y81" s="2" t="str">
        <f t="shared" ca="1" si="137"/>
        <v>String("75. ,15,255,1,100,1;") +</v>
      </c>
      <c r="Z81" s="2" t="str">
        <f t="shared" ca="1" si="94"/>
        <v>75;10;150;1;Песочные часы</v>
      </c>
      <c r="AA81" s="2" t="str">
        <f t="shared" ca="1" si="138"/>
        <v xml:space="preserve">        case EFF_HOURGLASS:           DYNAMIC_DELAY_TICK { effTimer = millis(); Hourglass();                  Eff_Tick (); }  break;  // ( 75U) Песочные часы</v>
      </c>
      <c r="AB81" s="2" t="str">
        <f ca="1">CONCATENATE("{""name"":""",A81,". ",C81,""",""spmin"":",L81,",""spmax"":",M81,",""scmin"":",N81,",""scmax"":",O81,",""type"":",P81,"},")</f>
        <v>{"name":"75. Песочные часы","spmin":15,"spmax":255,"scmin":1,"scmax":100,"type":1},</v>
      </c>
      <c r="AC81" s="4" t="str">
        <f t="shared" ca="1" si="139"/>
        <v>"e75":0,</v>
      </c>
      <c r="AD81" s="4" t="str">
        <f t="shared" ca="1" si="140"/>
        <v>e75=[[e75]]&amp;</v>
      </c>
      <c r="AE81" s="4" t="str">
        <f t="shared" ca="1" si="141"/>
        <v>"e75":2,</v>
      </c>
      <c r="AF81" s="2" t="str">
        <f t="shared" ca="1" si="114"/>
        <v>{"type":"checkbox","class":"checkbox-big","name":"e75","title":"75. Песочные часы","style":"font-size:16px;display:block","state":"{{e75}}"},</v>
      </c>
      <c r="AG81" s="2" t="str">
        <f t="shared" ca="1" si="115"/>
        <v>{"type":"h4","title":"75. Песочные часы","style":"font-size:14px;width:85%;float:left"},{"type":"input","title":"папка","name":"e75","state":"{{e75}}","pattern":"[0-9]{1,2}","style":"background: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1" s="2" t="str">
        <f t="shared" ca="1" si="142"/>
        <v>"75": "75.Песочные часы",</v>
      </c>
      <c r="AI81" s="16"/>
      <c r="AJ81" s="2" t="str">
        <f t="shared" ca="1" si="143"/>
        <v>75. Песочные часы,15,255,1,100,1;</v>
      </c>
      <c r="AK81" s="2" t="str">
        <f t="shared" ca="1" si="103"/>
        <v>75.Песочные часы</v>
      </c>
      <c r="AL81" s="29" t="s">
        <v>434</v>
      </c>
      <c r="AM81" s="2"/>
      <c r="AN81" s="17"/>
      <c r="AO81" s="2"/>
      <c r="AP81" s="2"/>
      <c r="AQ81" s="2"/>
      <c r="AR81" s="2"/>
      <c r="AS81" s="16"/>
      <c r="AT81" s="2"/>
      <c r="AU81" s="2"/>
      <c r="AV81" s="18"/>
      <c r="AW81" s="18"/>
      <c r="AX81" s="18"/>
      <c r="AY81" s="18"/>
      <c r="AZ81" s="18"/>
      <c r="BA81" s="18"/>
      <c r="BB81" s="18"/>
      <c r="BC81" s="18"/>
      <c r="BD81" s="18"/>
    </row>
    <row r="82" spans="1:56" ht="14.25" customHeight="1">
      <c r="A82" s="33">
        <f t="shared" ca="1" si="132"/>
        <v>76</v>
      </c>
      <c r="B82" s="38" t="s">
        <v>229</v>
      </c>
      <c r="C82" s="38" t="s">
        <v>230</v>
      </c>
      <c r="H82" s="38">
        <v>12</v>
      </c>
      <c r="I82" s="38">
        <v>195</v>
      </c>
      <c r="J82" s="38">
        <v>1</v>
      </c>
      <c r="L82" s="38">
        <v>215</v>
      </c>
      <c r="M82" s="38">
        <v>255</v>
      </c>
      <c r="N82" s="38">
        <v>1</v>
      </c>
      <c r="O82" s="38">
        <v>100</v>
      </c>
      <c r="P82" s="38">
        <v>0</v>
      </c>
      <c r="Q82" s="38" t="s">
        <v>39</v>
      </c>
      <c r="R82" s="38" t="s">
        <v>231</v>
      </c>
      <c r="S82" s="38">
        <v>2</v>
      </c>
      <c r="T82" s="38">
        <f t="shared" ca="1" si="133"/>
        <v>76</v>
      </c>
      <c r="U82" s="15"/>
      <c r="V82" s="2" t="str">
        <f t="shared" ca="1" si="134"/>
        <v>#define EFF_PAINTBALL           ( 76U)    // Пейнтбол</v>
      </c>
      <c r="W82" s="2" t="str">
        <f t="shared" ca="1" si="135"/>
        <v>String("76. Пейнтбол,215,255,1,100,0;") +</v>
      </c>
      <c r="X82" s="2" t="str">
        <f t="shared" ca="1" si="136"/>
        <v>String("76. ,215,255,1,100,0;") +</v>
      </c>
      <c r="Y82" s="2" t="str">
        <f t="shared" ca="1" si="137"/>
        <v>String("76. ,215,255,1,100,0;") +</v>
      </c>
      <c r="Z82" s="2" t="str">
        <f t="shared" ca="1" si="94"/>
        <v>76;12;195;1;Пейнтбол</v>
      </c>
      <c r="AA82" s="2" t="str">
        <f t="shared" ca="1" si="138"/>
        <v xml:space="preserve">        case EFF_PAINTBALL:           DYNAMIC_DELAY_TICK { effTimer = millis(); lightBallsRoutine();          Eff_Tick (); }  break;  // ( 76U) Пейнтбол</v>
      </c>
      <c r="AC82" s="4" t="str">
        <f t="shared" ca="1" si="139"/>
        <v>"e76":0,</v>
      </c>
      <c r="AD82" s="4" t="str">
        <f t="shared" ca="1" si="140"/>
        <v>e76=[[e76]]&amp;</v>
      </c>
      <c r="AE82" s="4" t="str">
        <f t="shared" ca="1" si="141"/>
        <v>"e76":2,</v>
      </c>
      <c r="AF82" s="2" t="str">
        <f t="shared" ca="1" si="114"/>
        <v>{"type":"checkbox","class":"checkbox-big","name":"e76","title":"76. Пейнтбол","style":"font-size:16px;display:block","state":"{{e76}}"},</v>
      </c>
      <c r="AG82" s="2" t="str">
        <f t="shared" ca="1" si="115"/>
        <v>{"type":"h4","title":"76. Пейнтбол","style":"font-size:14px;width:85%;float:left"},{"type":"input","title":"папка","name":"e76","state":"{{e76}}","pattern":"[0-9]{1,2}","style":"background: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2" s="2" t="str">
        <f t="shared" ca="1" si="142"/>
        <v>"76": "76.Пейнтбол",</v>
      </c>
      <c r="AI82" s="16"/>
      <c r="AJ82" s="2" t="str">
        <f t="shared" ca="1" si="143"/>
        <v>76. Пейнтбол,215,255,1,100,0;</v>
      </c>
      <c r="AK82" s="2" t="str">
        <f t="shared" ca="1" si="103"/>
        <v>76.Пейнтбол</v>
      </c>
      <c r="AL82" s="29" t="s">
        <v>434</v>
      </c>
      <c r="AM82" s="2"/>
      <c r="AN82" s="17"/>
      <c r="AO82" s="2"/>
      <c r="AP82" s="2"/>
      <c r="AQ82" s="2"/>
      <c r="AR82" s="2"/>
      <c r="AS82" s="16"/>
      <c r="AT82" s="2"/>
      <c r="AU82" s="2"/>
      <c r="AV82" s="18"/>
      <c r="AW82" s="18"/>
      <c r="AX82" s="18"/>
      <c r="AY82" s="18"/>
      <c r="AZ82" s="18"/>
      <c r="BA82" s="18"/>
      <c r="BB82" s="18"/>
      <c r="BC82" s="18"/>
      <c r="BD82" s="18"/>
    </row>
    <row r="83" spans="1:56" ht="14.25" customHeight="1">
      <c r="A83" s="33">
        <f t="shared" ca="1" si="132"/>
        <v>77</v>
      </c>
      <c r="B83" s="38" t="s">
        <v>232</v>
      </c>
      <c r="C83" s="38" t="s">
        <v>233</v>
      </c>
      <c r="H83" s="38">
        <v>8</v>
      </c>
      <c r="I83" s="38">
        <v>220</v>
      </c>
      <c r="J83" s="38">
        <v>40</v>
      </c>
      <c r="L83" s="38">
        <v>99</v>
      </c>
      <c r="M83" s="38">
        <v>255</v>
      </c>
      <c r="N83" s="38">
        <v>1</v>
      </c>
      <c r="O83" s="38">
        <v>100</v>
      </c>
      <c r="P83" s="38">
        <v>0</v>
      </c>
      <c r="Q83" s="38" t="s">
        <v>39</v>
      </c>
      <c r="R83" s="38" t="s">
        <v>234</v>
      </c>
      <c r="S83" s="38">
        <v>2</v>
      </c>
      <c r="T83" s="38">
        <f t="shared" ca="1" si="133"/>
        <v>77</v>
      </c>
      <c r="U83" s="15"/>
      <c r="V83" s="2" t="str">
        <f t="shared" ca="1" si="134"/>
        <v>#define EFF_PICASSO             ( 77U)    // Пикассо</v>
      </c>
      <c r="W83" s="2" t="str">
        <f t="shared" ca="1" si="135"/>
        <v>String("77. Пикассо,99,255,1,100,0;") +</v>
      </c>
      <c r="X83" s="2" t="str">
        <f t="shared" ca="1" si="136"/>
        <v>String("77. ,99,255,1,100,0;") +</v>
      </c>
      <c r="Y83" s="2" t="str">
        <f t="shared" ca="1" si="137"/>
        <v>String("77. ,99,255,1,100,0;") +</v>
      </c>
      <c r="Z83" s="2" t="str">
        <f t="shared" ca="1" si="94"/>
        <v>77;8;220;40;Пикассо</v>
      </c>
      <c r="AA83" s="2" t="str">
        <f t="shared" ca="1" si="138"/>
        <v xml:space="preserve">        case EFF_PICASSO:             DYNAMIC_DELAY_TICK { effTimer = millis(); picassoSelector();            Eff_Tick (); }  break;  // ( 77U) Пикассо</v>
      </c>
      <c r="AB83" s="2" t="str">
        <f t="shared" ref="AB83:AB86" ca="1" si="144">CONCATENATE("{""name"":""",A83,". ",C83,""",""spmin"":",L83,",""spmax"":",M83,",""scmin"":",N83,",""scmax"":",O83,",""type"":",P83,"},")</f>
        <v>{"name":"77. Пикассо","spmin":99,"spmax":255,"scmin":1,"scmax":100,"type":0},</v>
      </c>
      <c r="AC83" s="4" t="str">
        <f t="shared" ca="1" si="139"/>
        <v>"e77":0,</v>
      </c>
      <c r="AD83" s="4" t="str">
        <f t="shared" ca="1" si="140"/>
        <v>e77=[[e77]]&amp;</v>
      </c>
      <c r="AE83" s="4" t="str">
        <f t="shared" ca="1" si="141"/>
        <v>"e77":2,</v>
      </c>
      <c r="AF83" s="2" t="str">
        <f t="shared" ca="1" si="114"/>
        <v>{"type":"checkbox","class":"checkbox-big","name":"e77","title":"77. Пикассо","style":"font-size:16px;display:block","state":"{{e77}}"},</v>
      </c>
      <c r="AG83" s="2" t="str">
        <f t="shared" ca="1" si="115"/>
        <v>{"type":"h4","title":"77. Пикассо","style":"font-size:14px;width:85%;float:left"},{"type":"input","title":"папка","name":"e77","state":"{{e77}}","pattern":"[0-9]{1,2}","style":"background: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3" s="2" t="str">
        <f t="shared" ca="1" si="142"/>
        <v>"77": "77.Пикассо",</v>
      </c>
      <c r="AI83" s="16"/>
      <c r="AJ83" s="2" t="str">
        <f t="shared" ca="1" si="143"/>
        <v>77. Пикассо,99,255,1,100,0;</v>
      </c>
      <c r="AK83" s="2" t="str">
        <f t="shared" ca="1" si="103"/>
        <v>77.Пикассо</v>
      </c>
      <c r="AL83" s="29" t="s">
        <v>434</v>
      </c>
      <c r="AM83" s="2"/>
      <c r="AN83" s="17"/>
      <c r="AO83" s="2"/>
      <c r="AP83" s="2"/>
      <c r="AQ83" s="2"/>
      <c r="AR83" s="2"/>
      <c r="AS83" s="16"/>
      <c r="AT83" s="2"/>
      <c r="AU83" s="2"/>
      <c r="AV83" s="18"/>
      <c r="AW83" s="18"/>
      <c r="AX83" s="18"/>
      <c r="AY83" s="18"/>
      <c r="AZ83" s="18"/>
      <c r="BA83" s="18"/>
      <c r="BB83" s="18"/>
      <c r="BC83" s="18"/>
      <c r="BD83" s="18"/>
    </row>
    <row r="84" spans="1:56" ht="14.25" customHeight="1">
      <c r="A84" s="33">
        <f t="shared" ca="1" si="132"/>
        <v>78</v>
      </c>
      <c r="B84" s="38" t="s">
        <v>235</v>
      </c>
      <c r="C84" s="38" t="s">
        <v>236</v>
      </c>
      <c r="H84" s="38">
        <v>5</v>
      </c>
      <c r="I84" s="38">
        <v>20</v>
      </c>
      <c r="J84" s="38">
        <v>35</v>
      </c>
      <c r="L84" s="38">
        <v>1</v>
      </c>
      <c r="M84" s="38">
        <v>30</v>
      </c>
      <c r="N84" s="38">
        <v>1</v>
      </c>
      <c r="O84" s="38">
        <v>100</v>
      </c>
      <c r="P84" s="38">
        <v>0</v>
      </c>
      <c r="Q84" s="38" t="s">
        <v>35</v>
      </c>
      <c r="R84" s="38" t="s">
        <v>237</v>
      </c>
      <c r="S84" s="38">
        <v>2</v>
      </c>
      <c r="T84" s="38">
        <f t="shared" ca="1" si="133"/>
        <v>78</v>
      </c>
      <c r="U84" s="15"/>
      <c r="V84" s="2" t="str">
        <f t="shared" ca="1" si="134"/>
        <v>#define EFF_PLASMA              ( 78U)    // Плазма</v>
      </c>
      <c r="W84" s="2" t="str">
        <f t="shared" ca="1" si="135"/>
        <v>String("78. Плазма,1,30,1,100,0;") +</v>
      </c>
      <c r="X84" s="2" t="str">
        <f t="shared" ca="1" si="136"/>
        <v>String("78. ,1,30,1,100,0;") +</v>
      </c>
      <c r="Y84" s="2" t="str">
        <f t="shared" ca="1" si="137"/>
        <v>String("78. ,1,30,1,100,0;") +</v>
      </c>
      <c r="Z84" s="2" t="str">
        <f t="shared" ca="1" si="94"/>
        <v>78;5;20;35;Плазма</v>
      </c>
      <c r="AA84" s="2" t="str">
        <f t="shared" ca="1" si="138"/>
        <v xml:space="preserve">        case EFF_PLASMA:              HIGH_DELAY_TICK { effTimer = millis(); plasmaNoiseRoutine();         Eff_Tick (); }  break;  // ( 78U) Плазма</v>
      </c>
      <c r="AB84" s="2" t="str">
        <f t="shared" ca="1" si="144"/>
        <v>{"name":"78. Плазма","spmin":1,"spmax":30,"scmin":1,"scmax":100,"type":0},</v>
      </c>
      <c r="AC84" s="4" t="str">
        <f t="shared" ca="1" si="139"/>
        <v>"e78":0,</v>
      </c>
      <c r="AD84" s="4" t="str">
        <f t="shared" ca="1" si="140"/>
        <v>e78=[[e78]]&amp;</v>
      </c>
      <c r="AE84" s="4" t="str">
        <f t="shared" ca="1" si="141"/>
        <v>"e78":2,</v>
      </c>
      <c r="AF84" s="2" t="str">
        <f t="shared" ca="1" si="114"/>
        <v>{"type":"checkbox","class":"checkbox-big","name":"e78","title":"78. Плазма","style":"font-size:16px;display:block","state":"{{e78}}"},</v>
      </c>
      <c r="AG84" s="2" t="str">
        <f t="shared" ca="1" si="115"/>
        <v>{"type":"h4","title":"78. Плазма","style":"font-size:14px;width:85%;float:left"},{"type":"input","title":"папка","name":"e78","state":"{{e78}}","pattern":"[0-9]{1,2}","style":"background: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4" s="2" t="str">
        <f t="shared" ca="1" si="142"/>
        <v>"78": "78.Плазма",</v>
      </c>
      <c r="AI84" s="16"/>
      <c r="AJ84" s="2" t="str">
        <f t="shared" ca="1" si="143"/>
        <v>78. Плазма,1,30,1,100,0;</v>
      </c>
      <c r="AK84" s="2" t="str">
        <f t="shared" ca="1" si="103"/>
        <v>78.Плазма</v>
      </c>
      <c r="AL84" s="29" t="s">
        <v>434</v>
      </c>
      <c r="AM84" s="2"/>
      <c r="AN84" s="17"/>
      <c r="AO84" s="2"/>
      <c r="AP84" s="2"/>
      <c r="AQ84" s="2"/>
      <c r="AR84" s="2"/>
      <c r="AS84" s="16"/>
      <c r="AT84" s="2"/>
      <c r="AU84" s="2"/>
      <c r="AV84" s="18"/>
      <c r="AW84" s="18"/>
      <c r="AX84" s="18"/>
      <c r="AY84" s="18"/>
      <c r="AZ84" s="18"/>
      <c r="BA84" s="18"/>
      <c r="BB84" s="18"/>
      <c r="BC84" s="18"/>
      <c r="BD84" s="18"/>
    </row>
    <row r="85" spans="1:56" ht="14.25" customHeight="1">
      <c r="A85" s="33">
        <f t="shared" ca="1" si="132"/>
        <v>79</v>
      </c>
      <c r="B85" s="38" t="s">
        <v>238</v>
      </c>
      <c r="C85" s="38" t="s">
        <v>239</v>
      </c>
      <c r="H85" s="38">
        <v>5</v>
      </c>
      <c r="I85" s="38">
        <v>30</v>
      </c>
      <c r="J85" s="38">
        <v>82</v>
      </c>
      <c r="L85" s="38">
        <v>1</v>
      </c>
      <c r="M85" s="38">
        <v>255</v>
      </c>
      <c r="N85" s="38">
        <v>1</v>
      </c>
      <c r="O85" s="38">
        <v>100</v>
      </c>
      <c r="P85" s="38">
        <v>0</v>
      </c>
      <c r="Q85" s="38" t="s">
        <v>76</v>
      </c>
      <c r="R85" s="38" t="s">
        <v>240</v>
      </c>
      <c r="S85" s="38">
        <v>2</v>
      </c>
      <c r="T85" s="38">
        <f t="shared" ca="1" si="133"/>
        <v>79</v>
      </c>
      <c r="U85" s="15"/>
      <c r="V85" s="2" t="str">
        <f t="shared" ca="1" si="134"/>
        <v>#define EFF_SPIDER              ( 79U)    // Плазменная лампа</v>
      </c>
      <c r="W85" s="2" t="str">
        <f t="shared" ca="1" si="135"/>
        <v>String("79. Плазменная лампа,1,255,1,100,0;") +</v>
      </c>
      <c r="X85" s="2" t="str">
        <f t="shared" ca="1" si="136"/>
        <v>String("79. ,1,255,1,100,0;") +</v>
      </c>
      <c r="Y85" s="2" t="str">
        <f t="shared" ca="1" si="137"/>
        <v>String("79. ,1,255,1,100,0;") +</v>
      </c>
      <c r="Z85" s="2" t="str">
        <f t="shared" ca="1" si="94"/>
        <v>79;5;30;82;Плазменная лампа</v>
      </c>
      <c r="AA85" s="2" t="str">
        <f t="shared" ca="1" si="138"/>
        <v xml:space="preserve">        case EFF_SPIDER:              LOW_DELAY_TICK { effTimer = millis(); spiderRoutine();              Eff_Tick (); }  break;  // ( 79U) Плазменная лампа</v>
      </c>
      <c r="AB85" s="2" t="str">
        <f t="shared" ca="1" si="144"/>
        <v>{"name":"79. Плазменная лампа","spmin":1,"spmax":255,"scmin":1,"scmax":100,"type":0},</v>
      </c>
      <c r="AC85" s="4" t="str">
        <f t="shared" ca="1" si="139"/>
        <v>"e79":0,</v>
      </c>
      <c r="AD85" s="4" t="str">
        <f t="shared" ca="1" si="140"/>
        <v>e79=[[e79]]&amp;</v>
      </c>
      <c r="AE85" s="4" t="str">
        <f t="shared" ca="1" si="141"/>
        <v>"e79":2,</v>
      </c>
      <c r="AF85" s="2" t="str">
        <f t="shared" ca="1" si="114"/>
        <v>{"type":"checkbox","class":"checkbox-big","name":"e79","title":"79. Плазменная лампа","style":"font-size:16px;display:block","state":"{{e79}}"},</v>
      </c>
      <c r="AG85" s="2" t="str">
        <f t="shared" ca="1" si="115"/>
        <v>{"type":"h4","title":"79. Плазменная лампа","style":"font-size:14px;width:85%;float:left"},{"type":"input","title":"папка","name":"e79","state":"{{e79}}","pattern":"[0-9]{1,2}","style":"background: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5" s="2" t="str">
        <f t="shared" ca="1" si="142"/>
        <v>"79": "79.Плазменная лампа",</v>
      </c>
      <c r="AI85" s="16"/>
      <c r="AJ85" s="2" t="str">
        <f t="shared" ca="1" si="143"/>
        <v>79. Плазменная лампа,1,255,1,100,0;</v>
      </c>
      <c r="AK85" s="2" t="str">
        <f t="shared" ca="1" si="103"/>
        <v>79.Плазменная лампа</v>
      </c>
      <c r="AL85" s="29" t="s">
        <v>434</v>
      </c>
      <c r="AM85" s="2"/>
      <c r="AN85" s="17"/>
      <c r="AO85" s="2"/>
      <c r="AP85" s="2"/>
      <c r="AQ85" s="2"/>
      <c r="AR85" s="2"/>
      <c r="AS85" s="16"/>
      <c r="AT85" s="2"/>
      <c r="AU85" s="2"/>
      <c r="AV85" s="18"/>
      <c r="AW85" s="18"/>
      <c r="AX85" s="18"/>
      <c r="AY85" s="18"/>
      <c r="AZ85" s="18"/>
      <c r="BA85" s="18"/>
      <c r="BB85" s="18"/>
      <c r="BC85" s="18"/>
      <c r="BD85" s="18"/>
    </row>
    <row r="86" spans="1:56">
      <c r="A86" s="33">
        <f t="shared" ca="1" si="132"/>
        <v>80</v>
      </c>
      <c r="B86" s="38" t="s">
        <v>377</v>
      </c>
      <c r="C86" s="38" t="s">
        <v>378</v>
      </c>
      <c r="H86" s="38">
        <v>8</v>
      </c>
      <c r="I86" s="38">
        <v>15</v>
      </c>
      <c r="J86" s="38">
        <v>50</v>
      </c>
      <c r="L86" s="38">
        <v>100</v>
      </c>
      <c r="M86" s="38">
        <v>255</v>
      </c>
      <c r="N86" s="38">
        <v>1</v>
      </c>
      <c r="O86" s="38">
        <v>100</v>
      </c>
      <c r="P86" s="38">
        <v>0</v>
      </c>
      <c r="Q86" s="38" t="s">
        <v>170</v>
      </c>
      <c r="R86" s="38" t="s">
        <v>383</v>
      </c>
      <c r="S86" s="38">
        <v>2</v>
      </c>
      <c r="T86" s="38">
        <f t="shared" ca="1" si="133"/>
        <v>80</v>
      </c>
      <c r="V86" s="2" t="str">
        <f t="shared" ca="1" si="134"/>
        <v>#define EFF_PLASMA_WAVES        ( 80U)    // Плазменные волны</v>
      </c>
      <c r="W86" s="2" t="str">
        <f t="shared" ca="1" si="135"/>
        <v>String("80. Плазменные волны,100,255,1,100,0;") +</v>
      </c>
      <c r="X86" s="2" t="str">
        <f t="shared" ca="1" si="136"/>
        <v>String("80. ,100,255,1,100,0;") +</v>
      </c>
      <c r="Y86" s="2" t="str">
        <f t="shared" ca="1" si="137"/>
        <v>String("80. ,100,255,1,100,0;") +</v>
      </c>
      <c r="Z86" s="2" t="str">
        <f t="shared" ca="1" si="94"/>
        <v>80;8;15;50;Плазменные волны</v>
      </c>
      <c r="AA86" s="2" t="str">
        <f t="shared" ca="1" si="138"/>
        <v xml:space="preserve">        case EFF_PLASMA_WAVES:        SOFT_DELAY_TICK { effTimer = millis(); Plasma_Waves();               Eff_Tick (); }  break;  // ( 80U) Плазменные волны</v>
      </c>
      <c r="AB86" s="2" t="str">
        <f t="shared" ca="1" si="144"/>
        <v>{"name":"80. Плазменные волны","spmin":100,"spmax":255,"scmin":1,"scmax":100,"type":0},</v>
      </c>
      <c r="AC86" s="4" t="str">
        <f t="shared" ca="1" si="139"/>
        <v>"e80":0,</v>
      </c>
      <c r="AD86" s="4" t="str">
        <f t="shared" ca="1" si="140"/>
        <v>e80=[[e80]]&amp;</v>
      </c>
      <c r="AE86" s="4" t="str">
        <f t="shared" ca="1" si="141"/>
        <v>"e80":2,</v>
      </c>
      <c r="AF86" s="2" t="str">
        <f t="shared" ca="1" si="114"/>
        <v>{"type":"checkbox","class":"checkbox-big","name":"e80","title":"80. Плазменные волны","style":"font-size:16px;display:block","state":"{{e80}}"},</v>
      </c>
      <c r="AG86" s="2" t="str">
        <f t="shared" ca="1" si="115"/>
        <v>{"type":"h4","title":"80. Плазменные волны","style":"font-size:14px;width:85%;float:left"},{"type":"input","title":"папка","name":"e80","state":"{{e80}}","pattern":"[0-9]{1,2}","style":"background: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6" s="2" t="str">
        <f t="shared" ca="1" si="142"/>
        <v>"80": "80.Плазменные волны",</v>
      </c>
      <c r="AI86" s="16"/>
      <c r="AJ86" s="2" t="str">
        <f t="shared" ca="1" si="143"/>
        <v>80. Плазменные волны,100,255,1,100,0;</v>
      </c>
      <c r="AK86" s="2" t="str">
        <f t="shared" ca="1" si="103"/>
        <v>80.Плазменные волны</v>
      </c>
      <c r="AL86" s="29" t="s">
        <v>434</v>
      </c>
    </row>
    <row r="87" spans="1:56" ht="14.25" customHeight="1">
      <c r="A87" s="33">
        <f ca="1">MAX(OFFSET(A87,-4,0,4,1))+1</f>
        <v>81</v>
      </c>
      <c r="B87" s="38" t="s">
        <v>241</v>
      </c>
      <c r="C87" s="38" t="s">
        <v>242</v>
      </c>
      <c r="H87" s="38">
        <v>15</v>
      </c>
      <c r="I87" s="38">
        <v>45</v>
      </c>
      <c r="J87" s="38">
        <v>3</v>
      </c>
      <c r="L87" s="38">
        <v>1</v>
      </c>
      <c r="M87" s="38">
        <v>255</v>
      </c>
      <c r="N87" s="38">
        <v>0</v>
      </c>
      <c r="O87" s="38">
        <v>255</v>
      </c>
      <c r="P87" s="38">
        <v>1</v>
      </c>
      <c r="Q87" s="38" t="s">
        <v>76</v>
      </c>
      <c r="R87" s="38" t="s">
        <v>243</v>
      </c>
      <c r="S87" s="38">
        <v>3</v>
      </c>
      <c r="T87" s="38">
        <f ca="1">MAX(OFFSET(T87,-4,0,4,1))+1</f>
        <v>81</v>
      </c>
      <c r="U87" s="15"/>
      <c r="V87" s="2" t="str">
        <f ca="1">CONCATENATE("#define EFF_",B87,REPT(" ",20-LEN(B87)),"(",REPT(" ",3-LEN(T87)),T87,"U)    // ",C87)</f>
        <v>#define EFF_FLAME               ( 81U)    // Пламя</v>
      </c>
      <c r="W87" s="2" t="str">
        <f ca="1">CONCATENATE("String(""",A87,". ",C87,",",L87,",",M87,",",N87,",",O87,",",P87,";"") +")</f>
        <v>String("81. Пламя,1,255,0,255,1;") +</v>
      </c>
      <c r="X87" s="2" t="str">
        <f ca="1">CONCATENATE("String(""",A87,". ",D87,",",L87,",",M87,",",N87,",",O87,",",P87,";"") +")</f>
        <v>String("81. ,1,255,0,255,1;") +</v>
      </c>
      <c r="Y87" s="2" t="str">
        <f ca="1">CONCATENATE("String(""",A87,". ",E87,",",L87,",",M87,",",N87,",",O87,",",P87,";"") +")</f>
        <v>String("81. ,1,255,0,255,1;") +</v>
      </c>
      <c r="Z87" s="2" t="str">
        <f t="shared" ca="1" si="94"/>
        <v>81;15;45;3;Пламя</v>
      </c>
      <c r="AA87" s="2" t="str">
        <f ca="1">CONCATENATE("        case EFF_",B87,":",REPT(" ",20-LEN(B87)),Q87," { effTimer = millis(); ",R87,REPT(" ",30-LEN(R87)),"Eff_Tick (); }","  break;  // (",REPT(" ",3-LEN(T87)),T87,"U) ",C87)</f>
        <v xml:space="preserve">        case EFF_FLAME:               LOW_DELAY_TICK { effTimer = millis(); execStringsFlame();           Eff_Tick (); }  break;  // ( 81U) Пламя</v>
      </c>
      <c r="AB87" s="2" t="str">
        <f ca="1">CONCATENATE("{""name"":""",A87,". ",C87,""",""spmin"":",L87,",""spmax"":",M87,",""scmin"":",N87,",""scmax"":",O87,",""type"":",P87,"},")</f>
        <v>{"name":"81. Пламя","spmin":1,"spmax":255,"scmin":0,"scmax":255,"type":1},</v>
      </c>
      <c r="AC87" s="4" t="str">
        <f ca="1">CONCATENATE("""","e",T87,"""",":0,")</f>
        <v>"e81":0,</v>
      </c>
      <c r="AD87" s="4" t="str">
        <f ca="1">CONCATENATE("e",T87,"=[[e",T87,"]]&amp;")</f>
        <v>e81=[[e81]]&amp;</v>
      </c>
      <c r="AE87" s="4" t="str">
        <f ca="1">CONCATENATE("""","e",T87,"""",":",S87,",")</f>
        <v>"e81":3,</v>
      </c>
      <c r="AF87" s="2" t="str">
        <f t="shared" ca="1" si="114"/>
        <v>{"type":"checkbox","class":"checkbox-big","name":"e81","title":"81. Пламя","style":"font-size:16px;display:block","state":"{{e81}}"},</v>
      </c>
      <c r="AG87" s="2" t="str">
        <f t="shared" ca="1" si="115"/>
        <v>{"type":"h4","title":"81. Пламя","style":"font-size:14px;width:85%;float:left"},{"type":"input","title":"папка","name":"e81","state":"{{e81}}","pattern":"[0-9]{1,2}","style":"background: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7" s="2" t="str">
        <f ca="1">CONCATENATE("""",A87,"""",": """,A87,".",C87,""",")</f>
        <v>"81": "81.Пламя",</v>
      </c>
      <c r="AI87" s="16"/>
      <c r="AJ87" s="2" t="str">
        <f ca="1">CONCATENATE(A87,". ",C87,",",L87,",",M87,",",N87,",",O87,",",P87,";")</f>
        <v>81. Пламя,1,255,0,255,1;</v>
      </c>
      <c r="AK87" s="2" t="str">
        <f t="shared" ca="1" si="103"/>
        <v>81.Пламя</v>
      </c>
      <c r="AL87" s="29" t="s">
        <v>434</v>
      </c>
      <c r="AM87" s="2"/>
      <c r="AN87" s="17"/>
      <c r="AO87" s="2"/>
      <c r="AP87" s="2"/>
      <c r="AQ87" s="2"/>
      <c r="AR87" s="2"/>
      <c r="AS87" s="16"/>
      <c r="AT87" s="2"/>
      <c r="AU87" s="2"/>
      <c r="AV87" s="18"/>
      <c r="AW87" s="18"/>
      <c r="AX87" s="18"/>
      <c r="AY87" s="18"/>
      <c r="AZ87" s="18"/>
      <c r="BA87" s="18"/>
      <c r="BB87" s="18"/>
      <c r="BC87" s="18"/>
      <c r="BD87" s="18"/>
    </row>
    <row r="88" spans="1:56">
      <c r="A88" s="33">
        <f ca="1">MAX(OFFSET(A88,-4,0,4,1))+1</f>
        <v>82</v>
      </c>
      <c r="B88" s="38" t="s">
        <v>367</v>
      </c>
      <c r="C88" s="38" t="s">
        <v>368</v>
      </c>
      <c r="H88" s="38">
        <v>12</v>
      </c>
      <c r="I88" s="38">
        <v>128</v>
      </c>
      <c r="J88" s="38">
        <v>75</v>
      </c>
      <c r="L88" s="38">
        <v>128</v>
      </c>
      <c r="M88" s="38">
        <v>128</v>
      </c>
      <c r="N88" s="38">
        <v>10</v>
      </c>
      <c r="O88" s="38">
        <v>90</v>
      </c>
      <c r="P88" s="38">
        <v>0</v>
      </c>
      <c r="Q88" s="38" t="s">
        <v>170</v>
      </c>
      <c r="R88" s="38" t="s">
        <v>369</v>
      </c>
      <c r="S88" s="38">
        <v>2</v>
      </c>
      <c r="T88" s="38">
        <f ca="1">MAX(OFFSET(T88,-4,0,4,1))+1</f>
        <v>82</v>
      </c>
      <c r="V88" s="2" t="str">
        <f ca="1">CONCATENATE("#define EFF_",B88,REPT(" ",20-LEN(B88)),"(",REPT(" ",3-LEN(T88)),T88,"U)    // ",C88)</f>
        <v>#define EFF_PLANETEARTH         ( 82U)    // Планета Земля</v>
      </c>
      <c r="Z88" s="2" t="str">
        <f t="shared" ca="1" si="94"/>
        <v>82;12;128;75;Планета Земля</v>
      </c>
      <c r="AA88" s="2" t="str">
        <f ca="1">CONCATENATE("        case EFF_",B88,":",REPT(" ",20-LEN(B88)),Q88," { effTimer = millis(); ",R88,REPT(" ",30-LEN(R88)),"Eff_Tick (); }","  break;  // (",REPT(" ",3-LEN(T88)),T88,"U) ",C88)</f>
        <v xml:space="preserve">        case EFF_PLANETEARTH:         SOFT_DELAY_TICK { effTimer = millis(); PlanetEarth();                Eff_Tick (); }  break;  // ( 82U) Планета Земля</v>
      </c>
      <c r="AC88" s="4" t="str">
        <f ca="1">CONCATENATE("""","e",T88,"""",":0,")</f>
        <v>"e82":0,</v>
      </c>
      <c r="AD88" s="4" t="str">
        <f ca="1">CONCATENATE("e",T88,"=[[e",T88,"]]&amp;")</f>
        <v>e82=[[e82]]&amp;</v>
      </c>
      <c r="AE88" s="4" t="str">
        <f ca="1">CONCATENATE("""","e",T88,"""",":",S88,",")</f>
        <v>"e82":2,</v>
      </c>
      <c r="AF88" s="2" t="str">
        <f t="shared" ca="1" si="114"/>
        <v>{"type":"checkbox","class":"checkbox-big","name":"e82","title":"82. Планета Земля","style":"font-size:16px;display:block","state":"{{e82}}"},</v>
      </c>
      <c r="AG88" s="2" t="str">
        <f t="shared" ca="1" si="115"/>
        <v>{"type":"h4","title":"82. Планета Земля","style":"font-size:14px;width:85%;float:left"},{"type":"input","title":"папка","name":"e82","state":"{{e82}}","pattern":"[0-9]{1,2}","style":"background: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8" s="2" t="str">
        <f ca="1">CONCATENATE("""",A88,"""",": """,A88,".",C88,""",")</f>
        <v>"82": "82.Планета Земля",</v>
      </c>
      <c r="AI88" s="16"/>
      <c r="AJ88" s="2" t="str">
        <f ca="1">CONCATENATE(A88,". ",C88,",",L88,",",M88,",",N88,",",O88,",",P88,";")</f>
        <v>82. Планета Земля,128,128,10,90,0;</v>
      </c>
      <c r="AK88" s="2" t="str">
        <f t="shared" ca="1" si="103"/>
        <v>82.Планета Земля</v>
      </c>
      <c r="AL88" s="29" t="s">
        <v>434</v>
      </c>
    </row>
    <row r="89" spans="1:56" ht="14.25" customHeight="1">
      <c r="A89" s="33">
        <f t="shared" ref="A89:A94" ca="1" si="145">MAX(OFFSET(A89,-4,0,4,1))+1</f>
        <v>83</v>
      </c>
      <c r="B89" s="38" t="s">
        <v>244</v>
      </c>
      <c r="C89" s="38" t="s">
        <v>245</v>
      </c>
      <c r="H89" s="38">
        <v>20</v>
      </c>
      <c r="I89" s="38">
        <v>165</v>
      </c>
      <c r="J89" s="38">
        <v>30</v>
      </c>
      <c r="L89" s="38">
        <v>1</v>
      </c>
      <c r="M89" s="38">
        <v>255</v>
      </c>
      <c r="N89" s="38">
        <v>1</v>
      </c>
      <c r="O89" s="38">
        <v>100</v>
      </c>
      <c r="P89" s="38">
        <v>0</v>
      </c>
      <c r="Q89" s="38" t="s">
        <v>39</v>
      </c>
      <c r="R89" s="38" t="s">
        <v>246</v>
      </c>
      <c r="S89" s="38">
        <v>2</v>
      </c>
      <c r="T89" s="38">
        <f t="shared" ref="T89:T94" ca="1" si="146">MAX(OFFSET(T89,-4,0,4,1))+1</f>
        <v>83</v>
      </c>
      <c r="U89" s="15"/>
      <c r="V89" s="2" t="str">
        <f t="shared" ref="V89:V94" ca="1" si="147">CONCATENATE("#define EFF_",B89,REPT(" ",20-LEN(B89)),"(",REPT(" ",3-LEN(T89)),T89,"U)    // ",C89)</f>
        <v>#define EFF_BY_EFFECT           ( 83U)    // Побочный эффект</v>
      </c>
      <c r="W89" s="2" t="str">
        <f t="shared" ref="W89:W94" ca="1" si="148">CONCATENATE("String(""",A89,". ",C89,",",L89,",",M89,",",N89,",",O89,",",P89,";"") +")</f>
        <v>String("83. Побочный эффект,1,255,1,100,0;") +</v>
      </c>
      <c r="X89" s="2" t="str">
        <f t="shared" ref="X89:X94" ca="1" si="149">CONCATENATE("String(""",A89,". ",D89,",",L89,",",M89,",",N89,",",O89,",",P89,";"") +")</f>
        <v>String("83. ,1,255,1,100,0;") +</v>
      </c>
      <c r="Y89" s="2" t="str">
        <f t="shared" ref="Y89:Y94" ca="1" si="150">CONCATENATE("String(""",A89,". ",E89,",",L89,",",M89,",",N89,",",O89,",",P89,";"") +")</f>
        <v>String("83. ,1,255,1,100,0;") +</v>
      </c>
      <c r="Z89" s="2" t="str">
        <f t="shared" ca="1" si="94"/>
        <v>83;20;165;30;Побочный эффект</v>
      </c>
      <c r="AA89" s="2" t="str">
        <f t="shared" ref="AA89:AA94" ca="1" si="151">CONCATENATE("        case EFF_",B89,":",REPT(" ",20-LEN(B89)),Q89," { effTimer = millis(); ",R89,REPT(" ",30-LEN(R89)),"Eff_Tick (); }","  break;  // (",REPT(" ",3-LEN(T89)),T89,"U) ",C89)</f>
        <v xml:space="preserve">        case EFF_BY_EFFECT:           DYNAMIC_DELAY_TICK { effTimer = millis(); ByEffect();                   Eff_Tick (); }  break;  // ( 83U) Побочный эффект</v>
      </c>
      <c r="AB89" s="2" t="str">
        <f ca="1">CONCATENATE("{""name"":""",A89,". ",C89,""",""spmin"":",L89,",""spmax"":",M89,",""scmin"":",N89,",""scmax"":",O89,",""type"":",P89,"},")</f>
        <v>{"name":"83. Побочный эффект","spmin":1,"spmax":255,"scmin":1,"scmax":100,"type":0},</v>
      </c>
      <c r="AC89" s="4" t="str">
        <f t="shared" ref="AC89:AC94" ca="1" si="152">CONCATENATE("""","e",T89,"""",":0,")</f>
        <v>"e83":0,</v>
      </c>
      <c r="AD89" s="4" t="str">
        <f t="shared" ref="AD89:AD94" ca="1" si="153">CONCATENATE("e",T89,"=[[e",T89,"]]&amp;")</f>
        <v>e83=[[e83]]&amp;</v>
      </c>
      <c r="AE89" s="4" t="str">
        <f t="shared" ref="AE89:AE94" ca="1" si="154">CONCATENATE("""","e",T89,"""",":",S89,",")</f>
        <v>"e83":2,</v>
      </c>
      <c r="AF89" s="2" t="str">
        <f t="shared" ref="AF89:AF94" ca="1" si="155">CONCATENATE("{""type"":""checkbox"",""class"":""checkbox-big"",""name"":""e",T89,""",""title"":""",A89,". ",C89,""",""style"":""font-size:16px;display:block"",""state"":""{{e",T89,"}}""},")</f>
        <v>{"type":"checkbox","class":"checkbox-big","name":"e83","title":"83. Побочный эффект","style":"font-size:16px;display:block","state":"{{e83}}"},</v>
      </c>
      <c r="AG89" s="2" t="str">
        <f t="shared" ref="AG89:AG94" ca="1" si="156">CONCATENATE("{""type"":""h4"",""title"":""",A89,". ",C89,""",""style"":""font-size:14px;width:85%;float:left""},{""type"":""input"",""title"":""папка"",""name"":""e",T89,""",""state"":""{{e",T89,"}}"",""pattern"":""[0-9]{1,2}"",""style"":""",AL89,"""},{""type"":""hr""},")</f>
        <v>{"type":"h4","title":"83. Побочный эффект","style":"font-size:14px;width:85%;float:left"},{"type":"input","title":"папка","name":"e83","state":"{{e83}}","pattern":"[0-9]{1,2}","style":"background: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89" s="2" t="str">
        <f t="shared" ref="AH89:AH94" ca="1" si="157">CONCATENATE("""",A89,"""",": """,A89,".",C89,""",")</f>
        <v>"83": "83.Побочный эффект",</v>
      </c>
      <c r="AI89" s="16"/>
      <c r="AJ89" s="2" t="str">
        <f t="shared" ref="AJ89:AJ94" ca="1" si="158">CONCATENATE(A89,". ",C89,",",L89,",",M89,",",N89,",",O89,",",P89,";")</f>
        <v>83. Побочный эффект,1,255,1,100,0;</v>
      </c>
      <c r="AK89" s="2" t="str">
        <f t="shared" ca="1" si="103"/>
        <v>83.Побочный эффект</v>
      </c>
      <c r="AL89" s="29" t="s">
        <v>434</v>
      </c>
      <c r="AM89" s="2"/>
      <c r="AN89" s="17"/>
      <c r="AO89" s="2"/>
      <c r="AP89" s="2"/>
      <c r="AQ89" s="2"/>
      <c r="AR89" s="2"/>
      <c r="AS89" s="16"/>
      <c r="AT89" s="2"/>
      <c r="AU89" s="2"/>
      <c r="AV89" s="18"/>
      <c r="AW89" s="18"/>
      <c r="AX89" s="18"/>
      <c r="AY89" s="18"/>
      <c r="AZ89" s="18"/>
      <c r="BA89" s="18"/>
      <c r="BB89" s="18"/>
      <c r="BC89" s="18"/>
      <c r="BD89" s="18"/>
    </row>
    <row r="90" spans="1:56" ht="14.25" customHeight="1">
      <c r="A90" s="33">
        <f t="shared" ca="1" si="145"/>
        <v>84</v>
      </c>
      <c r="B90" s="38" t="s">
        <v>247</v>
      </c>
      <c r="C90" s="38" t="s">
        <v>248</v>
      </c>
      <c r="H90" s="38">
        <v>5</v>
      </c>
      <c r="I90" s="38">
        <v>70</v>
      </c>
      <c r="J90" s="38">
        <v>16</v>
      </c>
      <c r="L90" s="38">
        <v>1</v>
      </c>
      <c r="M90" s="38">
        <v>255</v>
      </c>
      <c r="N90" s="38">
        <v>1</v>
      </c>
      <c r="O90" s="38">
        <v>100</v>
      </c>
      <c r="P90" s="38">
        <v>0</v>
      </c>
      <c r="Q90" s="38" t="s">
        <v>76</v>
      </c>
      <c r="R90" s="38" t="s">
        <v>249</v>
      </c>
      <c r="S90" s="38">
        <v>2</v>
      </c>
      <c r="T90" s="38">
        <f t="shared" ca="1" si="146"/>
        <v>84</v>
      </c>
      <c r="U90" s="15"/>
      <c r="V90" s="2" t="str">
        <f t="shared" ca="1" si="147"/>
        <v>#define EFF_POPCORN             ( 84U)    // Попкорн</v>
      </c>
      <c r="W90" s="2" t="str">
        <f t="shared" ca="1" si="148"/>
        <v>String("84. Попкорн,1,255,1,100,0;") +</v>
      </c>
      <c r="X90" s="2" t="str">
        <f t="shared" ca="1" si="149"/>
        <v>String("84. ,1,255,1,100,0;") +</v>
      </c>
      <c r="Y90" s="2" t="str">
        <f t="shared" ca="1" si="150"/>
        <v>String("84. ,1,255,1,100,0;") +</v>
      </c>
      <c r="Z90" s="2" t="str">
        <f t="shared" ca="1" si="94"/>
        <v>84;5;70;16;Попкорн</v>
      </c>
      <c r="AA90" s="2" t="str">
        <f t="shared" ca="1" si="151"/>
        <v xml:space="preserve">        case EFF_POPCORN:             LOW_DELAY_TICK { effTimer = millis(); popcornRoutine();             Eff_Tick (); }  break;  // ( 84U) Попкорн</v>
      </c>
      <c r="AB90" s="2" t="str">
        <f ca="1">CONCATENATE("{""name"":""",A90,". ",C90,""",""spmin"":",L90,",""spmax"":",M90,",""scmin"":",N90,",""scmax"":",O90,",""type"":",P90,"},")</f>
        <v>{"name":"84. Попкорн","spmin":1,"spmax":255,"scmin":1,"scmax":100,"type":0},</v>
      </c>
      <c r="AC90" s="4" t="str">
        <f t="shared" ca="1" si="152"/>
        <v>"e84":0,</v>
      </c>
      <c r="AD90" s="4" t="str">
        <f t="shared" ca="1" si="153"/>
        <v>e84=[[e84]]&amp;</v>
      </c>
      <c r="AE90" s="4" t="str">
        <f t="shared" ca="1" si="154"/>
        <v>"e84":2,</v>
      </c>
      <c r="AF90" s="2" t="str">
        <f t="shared" ca="1" si="155"/>
        <v>{"type":"checkbox","class":"checkbox-big","name":"e84","title":"84. Попкорн","style":"font-size:16px;display:block","state":"{{e84}}"},</v>
      </c>
      <c r="AG90" s="2" t="str">
        <f t="shared" ca="1" si="156"/>
        <v>{"type":"h4","title":"84. Попкорн","style":"font-size:14px;width:85%;float:left"},{"type":"input","title":"папка","name":"e84","state":"{{e84}}","pattern":"[0-9]{1,2}","style":"background: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0" s="2" t="str">
        <f t="shared" ca="1" si="157"/>
        <v>"84": "84.Попкорн",</v>
      </c>
      <c r="AI90" s="16"/>
      <c r="AJ90" s="2" t="str">
        <f t="shared" ca="1" si="158"/>
        <v>84. Попкорн,1,255,1,100,0;</v>
      </c>
      <c r="AK90" s="2" t="str">
        <f t="shared" ca="1" si="103"/>
        <v>84.Попкорн</v>
      </c>
      <c r="AL90" s="29" t="s">
        <v>434</v>
      </c>
      <c r="AM90" s="2"/>
      <c r="AN90" s="17"/>
      <c r="AO90" s="2"/>
      <c r="AP90" s="2"/>
      <c r="AQ90" s="2"/>
      <c r="AR90" s="2"/>
      <c r="AS90" s="16"/>
      <c r="AT90" s="2"/>
      <c r="AU90" s="2"/>
      <c r="AV90" s="18"/>
      <c r="AW90" s="18"/>
      <c r="AX90" s="18"/>
      <c r="AY90" s="18"/>
      <c r="AZ90" s="18"/>
      <c r="BA90" s="18"/>
      <c r="BB90" s="18"/>
      <c r="BC90" s="18"/>
      <c r="BD90" s="18"/>
    </row>
    <row r="91" spans="1:56" ht="14.25" customHeight="1">
      <c r="A91" s="33">
        <f t="shared" ca="1" si="145"/>
        <v>85</v>
      </c>
      <c r="B91" s="38" t="s">
        <v>250</v>
      </c>
      <c r="C91" s="38" t="s">
        <v>251</v>
      </c>
      <c r="H91" s="38">
        <v>8</v>
      </c>
      <c r="I91" s="38">
        <v>100</v>
      </c>
      <c r="J91" s="38">
        <v>88</v>
      </c>
      <c r="L91" s="38">
        <v>1</v>
      </c>
      <c r="M91" s="38">
        <v>255</v>
      </c>
      <c r="N91" s="38">
        <v>1</v>
      </c>
      <c r="O91" s="38">
        <v>100</v>
      </c>
      <c r="P91" s="38">
        <v>0</v>
      </c>
      <c r="Q91" s="38" t="s">
        <v>76</v>
      </c>
      <c r="R91" s="38" t="s">
        <v>252</v>
      </c>
      <c r="S91" s="38">
        <v>2</v>
      </c>
      <c r="T91" s="38">
        <f t="shared" ca="1" si="146"/>
        <v>85</v>
      </c>
      <c r="U91" s="15"/>
      <c r="V91" s="2" t="str">
        <f t="shared" ca="1" si="147"/>
        <v>#define EFF_PRISMATA            ( 85U)    // Призмата</v>
      </c>
      <c r="W91" s="2" t="str">
        <f t="shared" ca="1" si="148"/>
        <v>String("85. Призмата,1,255,1,100,0;") +</v>
      </c>
      <c r="X91" s="2" t="str">
        <f t="shared" ca="1" si="149"/>
        <v>String("85. ,1,255,1,100,0;") +</v>
      </c>
      <c r="Y91" s="2" t="str">
        <f t="shared" ca="1" si="150"/>
        <v>String("85. ,1,255,1,100,0;") +</v>
      </c>
      <c r="Z91" s="2" t="str">
        <f t="shared" ca="1" si="94"/>
        <v>85;8;100;88;Призмата</v>
      </c>
      <c r="AA91" s="2" t="str">
        <f t="shared" ca="1" si="151"/>
        <v xml:space="preserve">        case EFF_PRISMATA:            LOW_DELAY_TICK { effTimer = millis(); PrismataRoutine();            Eff_Tick (); }  break;  // ( 85U) Призмата</v>
      </c>
      <c r="AC91" s="4" t="str">
        <f t="shared" ca="1" si="152"/>
        <v>"e85":0,</v>
      </c>
      <c r="AD91" s="4" t="str">
        <f t="shared" ca="1" si="153"/>
        <v>e85=[[e85]]&amp;</v>
      </c>
      <c r="AE91" s="4" t="str">
        <f t="shared" ca="1" si="154"/>
        <v>"e85":2,</v>
      </c>
      <c r="AF91" s="2" t="str">
        <f t="shared" ca="1" si="155"/>
        <v>{"type":"checkbox","class":"checkbox-big","name":"e85","title":"85. Призмата","style":"font-size:16px;display:block","state":"{{e85}}"},</v>
      </c>
      <c r="AG91" s="2" t="str">
        <f t="shared" ca="1" si="156"/>
        <v>{"type":"h4","title":"85. Призмата","style":"font-size:14px;width:85%;float:left"},{"type":"input","title":"папка","name":"e85","state":"{{e85}}","pattern":"[0-9]{1,2}","style":"background: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1" s="2" t="str">
        <f t="shared" ca="1" si="157"/>
        <v>"85": "85.Призмата",</v>
      </c>
      <c r="AI91" s="16"/>
      <c r="AJ91" s="2" t="str">
        <f t="shared" ca="1" si="158"/>
        <v>85. Призмата,1,255,1,100,0;</v>
      </c>
      <c r="AK91" s="2" t="str">
        <f t="shared" ca="1" si="103"/>
        <v>85.Призмата</v>
      </c>
      <c r="AL91" s="29" t="s">
        <v>434</v>
      </c>
      <c r="AM91" s="2"/>
      <c r="AN91" s="17"/>
      <c r="AO91" s="2"/>
      <c r="AP91" s="2"/>
      <c r="AQ91" s="2"/>
      <c r="AR91" s="2"/>
      <c r="AS91" s="16"/>
      <c r="AT91" s="2"/>
      <c r="AU91" s="2"/>
      <c r="AV91" s="18"/>
      <c r="AW91" s="18"/>
      <c r="AX91" s="18"/>
      <c r="AY91" s="18"/>
      <c r="AZ91" s="18"/>
      <c r="BA91" s="18"/>
      <c r="BB91" s="18"/>
      <c r="BC91" s="18"/>
      <c r="BD91" s="18"/>
    </row>
    <row r="92" spans="1:56" ht="14.25" customHeight="1">
      <c r="A92" s="33">
        <f t="shared" ca="1" si="145"/>
        <v>86</v>
      </c>
      <c r="B92" s="38" t="s">
        <v>253</v>
      </c>
      <c r="C92" s="38" t="s">
        <v>254</v>
      </c>
      <c r="H92" s="38">
        <v>10</v>
      </c>
      <c r="I92" s="38">
        <v>205</v>
      </c>
      <c r="J92" s="38">
        <v>65</v>
      </c>
      <c r="L92" s="38">
        <v>160</v>
      </c>
      <c r="M92" s="38">
        <v>255</v>
      </c>
      <c r="N92" s="38">
        <v>1</v>
      </c>
      <c r="O92" s="38">
        <v>100</v>
      </c>
      <c r="P92" s="38">
        <v>0</v>
      </c>
      <c r="Q92" s="38" t="s">
        <v>39</v>
      </c>
      <c r="R92" s="38" t="s">
        <v>255</v>
      </c>
      <c r="S92" s="38">
        <v>2</v>
      </c>
      <c r="T92" s="38">
        <f t="shared" ca="1" si="146"/>
        <v>86</v>
      </c>
      <c r="U92" s="15"/>
      <c r="V92" s="2" t="str">
        <f t="shared" ca="1" si="147"/>
        <v>#define EFF_ATTRACT             ( 86U)    // Притяжение</v>
      </c>
      <c r="W92" s="2" t="str">
        <f t="shared" ca="1" si="148"/>
        <v>String("86. Притяжение,160,255,1,100,0;") +</v>
      </c>
      <c r="X92" s="2" t="str">
        <f t="shared" ca="1" si="149"/>
        <v>String("86. ,160,255,1,100,0;") +</v>
      </c>
      <c r="Y92" s="2" t="str">
        <f t="shared" ca="1" si="150"/>
        <v>String("86. ,160,255,1,100,0;") +</v>
      </c>
      <c r="Z92" s="2" t="str">
        <f t="shared" ca="1" si="94"/>
        <v>86;10;205;65;Притяжение</v>
      </c>
      <c r="AA92" s="2" t="str">
        <f t="shared" ca="1" si="151"/>
        <v xml:space="preserve">        case EFF_ATTRACT:             DYNAMIC_DELAY_TICK { effTimer = millis(); attractRoutine();             Eff_Tick (); }  break;  // ( 86U) Притяжение</v>
      </c>
      <c r="AB92" s="2" t="str">
        <f t="shared" ref="AB92:AB93" ca="1" si="159">CONCATENATE("{""name"":""",A92,". ",C92,""",""spmin"":",L92,",""spmax"":",M92,",""scmin"":",N92,",""scmax"":",O92,",""type"":",P92,"},")</f>
        <v>{"name":"86. Притяжение","spmin":160,"spmax":255,"scmin":1,"scmax":100,"type":0},</v>
      </c>
      <c r="AC92" s="4" t="str">
        <f t="shared" ca="1" si="152"/>
        <v>"e86":0,</v>
      </c>
      <c r="AD92" s="4" t="str">
        <f t="shared" ca="1" si="153"/>
        <v>e86=[[e86]]&amp;</v>
      </c>
      <c r="AE92" s="4" t="str">
        <f t="shared" ca="1" si="154"/>
        <v>"e86":2,</v>
      </c>
      <c r="AF92" s="2" t="str">
        <f t="shared" ca="1" si="155"/>
        <v>{"type":"checkbox","class":"checkbox-big","name":"e86","title":"86. Притяжение","style":"font-size:16px;display:block","state":"{{e86}}"},</v>
      </c>
      <c r="AG92" s="2" t="str">
        <f t="shared" ca="1" si="156"/>
        <v>{"type":"h4","title":"86. Притяжение","style":"font-size:14px;width:85%;float:left"},{"type":"input","title":"папка","name":"e86","state":"{{e86}}","pattern":"[0-9]{1,2}","style":"background: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2" s="2" t="str">
        <f t="shared" ca="1" si="157"/>
        <v>"86": "86.Притяжение",</v>
      </c>
      <c r="AI92" s="16"/>
      <c r="AJ92" s="2" t="str">
        <f t="shared" ca="1" si="158"/>
        <v>86. Притяжение,160,255,1,100,0;</v>
      </c>
      <c r="AK92" s="2" t="str">
        <f t="shared" ca="1" si="103"/>
        <v>86.Притяжение</v>
      </c>
      <c r="AL92" s="29" t="s">
        <v>434</v>
      </c>
      <c r="AM92" s="2"/>
      <c r="AN92" s="17"/>
      <c r="AO92" s="2"/>
      <c r="AP92" s="2"/>
      <c r="AQ92" s="2"/>
      <c r="AR92" s="2"/>
      <c r="AS92" s="16"/>
      <c r="AT92" s="2"/>
      <c r="AU92" s="2"/>
      <c r="AV92" s="18"/>
      <c r="AW92" s="18"/>
      <c r="AX92" s="18"/>
      <c r="AY92" s="18"/>
      <c r="AZ92" s="18"/>
      <c r="BA92" s="18"/>
      <c r="BB92" s="18"/>
      <c r="BC92" s="18"/>
      <c r="BD92" s="18"/>
    </row>
    <row r="93" spans="1:56" ht="14.25" customHeight="1">
      <c r="A93" s="33">
        <f t="shared" ca="1" si="145"/>
        <v>87</v>
      </c>
      <c r="B93" s="38" t="s">
        <v>256</v>
      </c>
      <c r="C93" s="38" t="s">
        <v>257</v>
      </c>
      <c r="H93" s="38">
        <v>12</v>
      </c>
      <c r="I93" s="38">
        <v>203</v>
      </c>
      <c r="J93" s="38">
        <v>5</v>
      </c>
      <c r="L93" s="38">
        <v>1</v>
      </c>
      <c r="M93" s="38">
        <v>255</v>
      </c>
      <c r="N93" s="38">
        <v>1</v>
      </c>
      <c r="O93" s="38">
        <v>100</v>
      </c>
      <c r="P93" s="38">
        <v>0</v>
      </c>
      <c r="Q93" s="38" t="s">
        <v>39</v>
      </c>
      <c r="R93" s="38" t="s">
        <v>258</v>
      </c>
      <c r="S93" s="38">
        <v>2</v>
      </c>
      <c r="T93" s="38">
        <f t="shared" ca="1" si="146"/>
        <v>87</v>
      </c>
      <c r="U93" s="15"/>
      <c r="V93" s="2" t="str">
        <f t="shared" ca="1" si="147"/>
        <v>#define EFF_LEAPERS             ( 87U)    // Пpыгyны</v>
      </c>
      <c r="W93" s="2" t="str">
        <f t="shared" ca="1" si="148"/>
        <v>String("87. Пpыгyны,1,255,1,100,0;") +</v>
      </c>
      <c r="X93" s="2" t="str">
        <f t="shared" ca="1" si="149"/>
        <v>String("87. ,1,255,1,100,0;") +</v>
      </c>
      <c r="Y93" s="2" t="str">
        <f t="shared" ca="1" si="150"/>
        <v>String("87. ,1,255,1,100,0;") +</v>
      </c>
      <c r="Z93" s="2" t="str">
        <f t="shared" ca="1" si="94"/>
        <v>87;12;203;5;Пpыгyны</v>
      </c>
      <c r="AA93" s="2" t="str">
        <f t="shared" ca="1" si="151"/>
        <v xml:space="preserve">        case EFF_LEAPERS:             DYNAMIC_DELAY_TICK { effTimer = millis(); LeapersRoutine();             Eff_Tick (); }  break;  // ( 87U) Пpыгyны</v>
      </c>
      <c r="AB93" s="2" t="str">
        <f t="shared" ca="1" si="159"/>
        <v>{"name":"87. Пpыгyны","spmin":1,"spmax":255,"scmin":1,"scmax":100,"type":0},</v>
      </c>
      <c r="AC93" s="4" t="str">
        <f t="shared" ca="1" si="152"/>
        <v>"e87":0,</v>
      </c>
      <c r="AD93" s="4" t="str">
        <f t="shared" ca="1" si="153"/>
        <v>e87=[[e87]]&amp;</v>
      </c>
      <c r="AE93" s="4" t="str">
        <f t="shared" ca="1" si="154"/>
        <v>"e87":2,</v>
      </c>
      <c r="AF93" s="2" t="str">
        <f t="shared" ca="1" si="155"/>
        <v>{"type":"checkbox","class":"checkbox-big","name":"e87","title":"87. Пpыгyны","style":"font-size:16px;display:block","state":"{{e87}}"},</v>
      </c>
      <c r="AG93" s="2" t="str">
        <f t="shared" ca="1" si="156"/>
        <v>{"type":"h4","title":"87. Пpыгyны","style":"font-size:14px;width:85%;float:left"},{"type":"input","title":"папка","name":"e87","state":"{{e87}}","pattern":"[0-9]{1,2}","style":"background: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3" s="2" t="str">
        <f t="shared" ca="1" si="157"/>
        <v>"87": "87.Пpыгyны",</v>
      </c>
      <c r="AI93" s="16"/>
      <c r="AJ93" s="2" t="str">
        <f t="shared" ca="1" si="158"/>
        <v>87. Пpыгyны,1,255,1,100,0;</v>
      </c>
      <c r="AK93" s="2" t="str">
        <f t="shared" ca="1" si="103"/>
        <v>87.Пpыгyны</v>
      </c>
      <c r="AL93" s="29" t="s">
        <v>434</v>
      </c>
      <c r="AM93" s="2"/>
      <c r="AN93" s="17"/>
      <c r="AO93" s="2"/>
      <c r="AP93" s="2"/>
      <c r="AQ93" s="2"/>
      <c r="AR93" s="2"/>
      <c r="AS93" s="16"/>
      <c r="AT93" s="2"/>
      <c r="AU93" s="2"/>
      <c r="AV93" s="18"/>
      <c r="AW93" s="18"/>
      <c r="AX93" s="18"/>
      <c r="AY93" s="18"/>
      <c r="AZ93" s="18"/>
      <c r="BA93" s="18"/>
      <c r="BB93" s="18"/>
      <c r="BC93" s="18"/>
      <c r="BD93" s="18"/>
    </row>
    <row r="94" spans="1:56" ht="14.25" customHeight="1">
      <c r="A94" s="33">
        <f t="shared" ca="1" si="145"/>
        <v>88</v>
      </c>
      <c r="B94" s="38" t="s">
        <v>259</v>
      </c>
      <c r="C94" s="38" t="s">
        <v>260</v>
      </c>
      <c r="H94" s="38">
        <v>10</v>
      </c>
      <c r="I94" s="38">
        <v>185</v>
      </c>
      <c r="J94" s="38">
        <v>6</v>
      </c>
      <c r="L94" s="38">
        <v>99</v>
      </c>
      <c r="M94" s="38">
        <v>255</v>
      </c>
      <c r="N94" s="38">
        <v>1</v>
      </c>
      <c r="O94" s="38">
        <v>100</v>
      </c>
      <c r="P94" s="38">
        <v>0</v>
      </c>
      <c r="Q94" s="38" t="s">
        <v>39</v>
      </c>
      <c r="R94" s="38" t="s">
        <v>261</v>
      </c>
      <c r="S94" s="38">
        <v>2</v>
      </c>
      <c r="T94" s="38">
        <f t="shared" ca="1" si="146"/>
        <v>88</v>
      </c>
      <c r="U94" s="15"/>
      <c r="V94" s="2" t="str">
        <f t="shared" ca="1" si="147"/>
        <v>#define EFF_PULSE               ( 88U)    // Пульс</v>
      </c>
      <c r="W94" s="2" t="str">
        <f t="shared" ca="1" si="148"/>
        <v>String("88. Пульс,99,255,1,100,0;") +</v>
      </c>
      <c r="X94" s="2" t="str">
        <f t="shared" ca="1" si="149"/>
        <v>String("88. ,99,255,1,100,0;") +</v>
      </c>
      <c r="Y94" s="2" t="str">
        <f t="shared" ca="1" si="150"/>
        <v>String("88. ,99,255,1,100,0;") +</v>
      </c>
      <c r="Z94" s="2" t="str">
        <f t="shared" ca="1" si="94"/>
        <v>88;10;185;6;Пульс</v>
      </c>
      <c r="AA94" s="2" t="str">
        <f t="shared" ca="1" si="151"/>
        <v xml:space="preserve">        case EFF_PULSE:               DYNAMIC_DELAY_TICK { effTimer = millis(); pulseRoutine(2U);             Eff_Tick (); }  break;  // ( 88U) Пульс</v>
      </c>
      <c r="AC94" s="4" t="str">
        <f t="shared" ca="1" si="152"/>
        <v>"e88":0,</v>
      </c>
      <c r="AD94" s="4" t="str">
        <f t="shared" ca="1" si="153"/>
        <v>e88=[[e88]]&amp;</v>
      </c>
      <c r="AE94" s="4" t="str">
        <f t="shared" ca="1" si="154"/>
        <v>"e88":2,</v>
      </c>
      <c r="AF94" s="2" t="str">
        <f t="shared" ca="1" si="155"/>
        <v>{"type":"checkbox","class":"checkbox-big","name":"e88","title":"88. Пульс","style":"font-size:16px;display:block","state":"{{e88}}"},</v>
      </c>
      <c r="AG94" s="2" t="str">
        <f t="shared" ca="1" si="156"/>
        <v>{"type":"h4","title":"88. Пульс","style":"font-size:14px;width:85%;float:left"},{"type":"input","title":"папка","name":"e88","state":"{{e88}}","pattern":"[0-9]{1,2}","style":"background: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4" s="2" t="str">
        <f t="shared" ca="1" si="157"/>
        <v>"88": "88.Пульс",</v>
      </c>
      <c r="AI94" s="16"/>
      <c r="AJ94" s="2" t="str">
        <f t="shared" ca="1" si="158"/>
        <v>88. Пульс,99,255,1,100,0;</v>
      </c>
      <c r="AK94" s="2" t="str">
        <f t="shared" ca="1" si="103"/>
        <v>88.Пульс</v>
      </c>
      <c r="AL94" s="29" t="s">
        <v>434</v>
      </c>
      <c r="AM94" s="2"/>
      <c r="AN94" s="17"/>
      <c r="AO94" s="2"/>
      <c r="AP94" s="2"/>
      <c r="AQ94" s="2"/>
      <c r="AR94" s="2"/>
      <c r="AS94" s="16"/>
      <c r="AT94" s="2"/>
      <c r="AU94" s="2"/>
      <c r="AV94" s="18"/>
      <c r="AW94" s="18"/>
      <c r="AX94" s="18"/>
      <c r="AY94" s="18"/>
      <c r="AZ94" s="18"/>
      <c r="BA94" s="18"/>
      <c r="BB94" s="18"/>
      <c r="BC94" s="18"/>
      <c r="BD94" s="18"/>
    </row>
    <row r="95" spans="1:56" ht="14.25" customHeight="1">
      <c r="A95" s="34"/>
      <c r="B95" s="40"/>
      <c r="C95" s="40"/>
      <c r="H95" s="40"/>
      <c r="I95" s="40"/>
      <c r="J95" s="40"/>
      <c r="L95" s="40"/>
      <c r="M95" s="40"/>
      <c r="N95" s="40"/>
      <c r="O95" s="40"/>
      <c r="P95" s="40"/>
      <c r="Q95" s="40"/>
      <c r="R95" s="40"/>
      <c r="S95" s="50"/>
      <c r="T95" s="40"/>
      <c r="U95" s="15"/>
      <c r="V95" s="19"/>
      <c r="W95" s="19" t="s">
        <v>262</v>
      </c>
      <c r="X95" s="19" t="s">
        <v>262</v>
      </c>
      <c r="Y95" s="19"/>
      <c r="Z95" s="19"/>
      <c r="AA95" s="19"/>
      <c r="AB95" s="19"/>
      <c r="AC95" s="20"/>
      <c r="AD95" s="20"/>
      <c r="AE95" s="20"/>
      <c r="AF95" s="19"/>
      <c r="AG95" s="19"/>
      <c r="AH95" s="19"/>
      <c r="AI95" s="21"/>
      <c r="AJ95" s="11" t="s">
        <v>263</v>
      </c>
      <c r="AK95" s="2"/>
      <c r="AL95" s="29"/>
      <c r="AM95" s="2"/>
      <c r="AN95" s="4"/>
      <c r="AO95" s="5"/>
      <c r="AP95" s="2"/>
      <c r="AQ95" s="2"/>
      <c r="AR95" s="2"/>
      <c r="AS95" s="4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7" spans="1:56" ht="14.25" customHeight="1">
      <c r="A97" s="33">
        <f t="shared" ref="A97:A100" ca="1" si="160">MAX(OFFSET(A97,-4,0,4,1))+1</f>
        <v>89</v>
      </c>
      <c r="B97" s="38" t="s">
        <v>264</v>
      </c>
      <c r="C97" s="38" t="s">
        <v>265</v>
      </c>
      <c r="H97" s="38">
        <v>10</v>
      </c>
      <c r="I97" s="38">
        <v>179</v>
      </c>
      <c r="J97" s="38">
        <v>11</v>
      </c>
      <c r="L97" s="38">
        <v>99</v>
      </c>
      <c r="M97" s="38">
        <v>255</v>
      </c>
      <c r="N97" s="38">
        <v>1</v>
      </c>
      <c r="O97" s="38">
        <v>100</v>
      </c>
      <c r="P97" s="38">
        <v>0</v>
      </c>
      <c r="Q97" s="38" t="s">
        <v>266</v>
      </c>
      <c r="R97" s="38" t="s">
        <v>267</v>
      </c>
      <c r="S97" s="38">
        <v>2</v>
      </c>
      <c r="T97" s="38">
        <f t="shared" ref="T97:T103" ca="1" si="161">MAX(OFFSET(T97,-4,0,4,1))+1</f>
        <v>89</v>
      </c>
      <c r="U97" s="15"/>
      <c r="V97" s="2" t="str">
        <f t="shared" ref="V97:V103" ca="1" si="162">CONCATENATE("#define EFF_",B97,REPT(" ",20-LEN(B97)),"(",REPT(" ",3-LEN(T97)),T97,"U)    // ",C97)</f>
        <v>#define EFF_PULSE_WHITE         ( 89U)    // Пульс белый</v>
      </c>
      <c r="W97" s="2" t="str">
        <f t="shared" ref="W97:W103" ca="1" si="163">CONCATENATE("String(""",A97,". ",C97,",",L97,",",M97,",",N97,",",O97,",",P97,";"") +")</f>
        <v>String("89. Пульс белый,99,255,1,100,0;") +</v>
      </c>
      <c r="X97" s="2" t="str">
        <f t="shared" ref="X97:X103" ca="1" si="164">CONCATENATE("String(""",A97,". ",D97,",",L97,",",M97,",",N97,",",O97,",",P97,";"") +")</f>
        <v>String("89. ,99,255,1,100,0;") +</v>
      </c>
      <c r="Y97" s="2" t="str">
        <f t="shared" ref="Y97:Y103" ca="1" si="165">CONCATENATE("String(""",A97,". ",E97,",",L97,",",M97,",",N97,",",O97,",",P97,";"") +")</f>
        <v>String("89. ,99,255,1,100,0;") +</v>
      </c>
      <c r="Z97" s="2" t="str">
        <f t="shared" ref="Z97:Z141" ca="1" si="166">CONCATENATE(A97,";",H97,";",I97,";",J97,";",C97)</f>
        <v>89;10;179;11;Пульс белый</v>
      </c>
      <c r="AA97" s="2" t="str">
        <f t="shared" ref="AA97:AA103" ca="1" si="167">CONCATENATE("        case EFF_",B97,":",REPT(" ",20-LEN(B97)),Q97," { effTimer = millis(); ",R97,REPT(" ",30-LEN(R97)),"Eff_Tick (); }","  break;  // (",REPT(" ",3-LEN(T97)),T97,"U) ",C97)</f>
        <v xml:space="preserve">        case EFF_PULSE_WHITE:         LOW_DELAY_TICK     { effTimer = millis(); pulseRoutine(8U);             Eff_Tick (); }  break;  // ( 89U) Пульс белый</v>
      </c>
      <c r="AC97" s="4" t="str">
        <f t="shared" ref="AC97:AC103" ca="1" si="168">CONCATENATE("""","e",T97,"""",":0,")</f>
        <v>"e89":0,</v>
      </c>
      <c r="AD97" s="4" t="str">
        <f t="shared" ref="AD97:AD103" ca="1" si="169">CONCATENATE("e",T97,"=[[e",T97,"]]&amp;")</f>
        <v>e89=[[e89]]&amp;</v>
      </c>
      <c r="AE97" s="4" t="str">
        <f t="shared" ref="AE97:AE103" ca="1" si="170">CONCATENATE("""","e",T97,"""",":",S97,",")</f>
        <v>"e89":2,</v>
      </c>
      <c r="AF97" s="2" t="str">
        <f t="shared" ref="AF97:AF130" ca="1" si="171">CONCATENATE("{""type"":""checkbox"",""class"":""checkbox-big"",""name"":""e",T97,""",""title"":""",A97,". ",C97,""",""style"":""font-size:16px;display:block"",""state"":""{{e",T97,"}}""},")</f>
        <v>{"type":"checkbox","class":"checkbox-big","name":"e89","title":"89. Пульс белый","style":"font-size:16px;display:block","state":"{{e89}}"},</v>
      </c>
      <c r="AG97" s="2" t="str">
        <f t="shared" ref="AG97:AG130" ca="1" si="172">CONCATENATE("{""type"":""h4"",""title"":""",A97,". ",C97,""",""style"":""font-size:14px;width:85%;float:left""},{""type"":""input"",""title"":""папка"",""name"":""e",T97,""",""state"":""{{e",T97,"}}"",""pattern"":""[0-9]{1,2}"",""style"":""",AL97,"""},{""type"":""hr""},")</f>
        <v>{"type":"h4","title":"89. Пульс белый","style":"font-size:14px;width:85%;float:left"},{"type":"input","title":"папка","name":"e89","state":"{{e89}}","pattern":"[0-9]{1,2}","style":"background: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7" s="2" t="str">
        <f t="shared" ref="AH97:AH103" ca="1" si="173">CONCATENATE("""",A97,"""",": """,A97,".",C97,""",")</f>
        <v>"89": "89.Пульс белый",</v>
      </c>
      <c r="AI97" s="16"/>
      <c r="AJ97" s="2" t="str">
        <f t="shared" ref="AJ97:AJ103" ca="1" si="174">CONCATENATE(A97,". ",C97,",",L97,",",M97,",",N97,",",O97,",",P97,";")</f>
        <v>89. Пульс белый,99,255,1,100,0;</v>
      </c>
      <c r="AK97" s="2" t="str">
        <f t="shared" ref="AK97:AK141" ca="1" si="175">CONCATENATE(A97,".",C97)</f>
        <v>89.Пульс белый</v>
      </c>
      <c r="AL97" s="29" t="s">
        <v>434</v>
      </c>
      <c r="AM97" s="2"/>
      <c r="AN97" s="17"/>
      <c r="AO97" s="2"/>
      <c r="AP97" s="2"/>
      <c r="AQ97" s="2"/>
      <c r="AR97" s="2"/>
      <c r="AS97" s="16"/>
      <c r="AT97" s="2"/>
      <c r="AU97" s="2"/>
      <c r="AV97" s="18"/>
      <c r="AW97" s="18"/>
      <c r="AX97" s="18"/>
      <c r="AY97" s="18"/>
      <c r="AZ97" s="18"/>
      <c r="BA97" s="18"/>
      <c r="BB97" s="18"/>
      <c r="BC97" s="18"/>
      <c r="BD97" s="18"/>
    </row>
    <row r="98" spans="1:56" ht="14.25" customHeight="1">
      <c r="A98" s="33">
        <f t="shared" ca="1" si="160"/>
        <v>90</v>
      </c>
      <c r="B98" s="38" t="s">
        <v>268</v>
      </c>
      <c r="C98" s="38" t="s">
        <v>269</v>
      </c>
      <c r="H98" s="38">
        <v>10</v>
      </c>
      <c r="I98" s="38">
        <v>185</v>
      </c>
      <c r="J98" s="38">
        <v>31</v>
      </c>
      <c r="L98" s="38">
        <v>99</v>
      </c>
      <c r="M98" s="38">
        <v>255</v>
      </c>
      <c r="N98" s="38">
        <v>1</v>
      </c>
      <c r="O98" s="38">
        <v>100</v>
      </c>
      <c r="P98" s="38">
        <v>0</v>
      </c>
      <c r="Q98" s="38" t="s">
        <v>39</v>
      </c>
      <c r="R98" s="38" t="s">
        <v>270</v>
      </c>
      <c r="S98" s="38">
        <v>2</v>
      </c>
      <c r="T98" s="38">
        <f t="shared" ca="1" si="161"/>
        <v>90</v>
      </c>
      <c r="U98" s="15"/>
      <c r="V98" s="2" t="str">
        <f t="shared" ca="1" si="162"/>
        <v>#define EFF_PULSE_RAINBOW       ( 90U)    // Пульс радужный</v>
      </c>
      <c r="W98" s="2" t="str">
        <f t="shared" ca="1" si="163"/>
        <v>String("90. Пульс радужный,99,255,1,100,0;") +</v>
      </c>
      <c r="X98" s="2" t="str">
        <f t="shared" ca="1" si="164"/>
        <v>String("90. ,99,255,1,100,0;") +</v>
      </c>
      <c r="Y98" s="2" t="str">
        <f t="shared" ca="1" si="165"/>
        <v>String("90. ,99,255,1,100,0;") +</v>
      </c>
      <c r="Z98" s="2" t="str">
        <f t="shared" ca="1" si="166"/>
        <v>90;10;185;31;Пульс радужный</v>
      </c>
      <c r="AA98" s="2" t="str">
        <f t="shared" ca="1" si="167"/>
        <v xml:space="preserve">        case EFF_PULSE_RAINBOW:       DYNAMIC_DELAY_TICK { effTimer = millis(); pulseRoutine(4U);             Eff_Tick (); }  break;  // ( 90U) Пульс радужный</v>
      </c>
      <c r="AB98" s="2" t="str">
        <f t="shared" ref="AB98" ca="1" si="176">CONCATENATE("{""name"":""",A98,". ",C98,""",""spmin"":",L98,",""spmax"":",M98,",""scmin"":",N98,",""scmax"":",O98,",""type"":",P98,"},")</f>
        <v>{"name":"90. Пульс радужный","spmin":99,"spmax":255,"scmin":1,"scmax":100,"type":0},</v>
      </c>
      <c r="AC98" s="4" t="str">
        <f t="shared" ca="1" si="168"/>
        <v>"e90":0,</v>
      </c>
      <c r="AD98" s="4" t="str">
        <f t="shared" ca="1" si="169"/>
        <v>e90=[[e90]]&amp;</v>
      </c>
      <c r="AE98" s="4" t="str">
        <f t="shared" ca="1" si="170"/>
        <v>"e90":2,</v>
      </c>
      <c r="AF98" s="2" t="str">
        <f t="shared" ca="1" si="171"/>
        <v>{"type":"checkbox","class":"checkbox-big","name":"e90","title":"90. Пульс радужный","style":"font-size:16px;display:block","state":"{{e90}}"},</v>
      </c>
      <c r="AG98" s="2" t="str">
        <f t="shared" ca="1" si="172"/>
        <v>{"type":"h4","title":"90. Пульс радужный","style":"font-size:14px;width:85%;float:left"},{"type":"input","title":"папка","name":"e90","state":"{{e90}}","pattern":"[0-9]{1,2}","style":"background: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8" s="2" t="str">
        <f t="shared" ca="1" si="173"/>
        <v>"90": "90.Пульс радужный",</v>
      </c>
      <c r="AI98" s="16"/>
      <c r="AJ98" s="2" t="str">
        <f t="shared" ca="1" si="174"/>
        <v>90. Пульс радужный,99,255,1,100,0;</v>
      </c>
      <c r="AK98" s="2" t="str">
        <f t="shared" ca="1" si="175"/>
        <v>90.Пульс радужный</v>
      </c>
      <c r="AL98" s="29" t="s">
        <v>434</v>
      </c>
      <c r="AM98" s="2"/>
      <c r="AN98" s="17"/>
      <c r="AO98" s="2"/>
      <c r="AP98" s="2"/>
      <c r="AQ98" s="2"/>
      <c r="AR98" s="2"/>
      <c r="AS98" s="16"/>
      <c r="AT98" s="2"/>
      <c r="AU98" s="2"/>
      <c r="AV98" s="18"/>
      <c r="AW98" s="18"/>
      <c r="AX98" s="18"/>
      <c r="AY98" s="18"/>
      <c r="AZ98" s="18"/>
      <c r="BA98" s="18"/>
      <c r="BB98" s="18"/>
      <c r="BC98" s="18"/>
      <c r="BD98" s="18"/>
    </row>
    <row r="99" spans="1:56" ht="14.25" customHeight="1">
      <c r="A99" s="37">
        <f t="shared" ca="1" si="160"/>
        <v>91</v>
      </c>
      <c r="B99" s="38" t="s">
        <v>271</v>
      </c>
      <c r="C99" s="38" t="s">
        <v>272</v>
      </c>
      <c r="H99" s="41">
        <v>8</v>
      </c>
      <c r="I99" s="38">
        <v>220</v>
      </c>
      <c r="J99" s="38">
        <v>50</v>
      </c>
      <c r="L99" s="38">
        <v>50</v>
      </c>
      <c r="M99" s="38">
        <v>255</v>
      </c>
      <c r="N99" s="38">
        <v>49</v>
      </c>
      <c r="O99" s="38">
        <v>50</v>
      </c>
      <c r="P99" s="38">
        <v>0</v>
      </c>
      <c r="Q99" s="38" t="s">
        <v>39</v>
      </c>
      <c r="R99" s="38" t="s">
        <v>273</v>
      </c>
      <c r="S99" s="38">
        <v>2</v>
      </c>
      <c r="T99" s="41">
        <f t="shared" ca="1" si="161"/>
        <v>91</v>
      </c>
      <c r="U99" s="15"/>
      <c r="V99" s="2" t="str">
        <f t="shared" ca="1" si="162"/>
        <v>#define EFF_RADIAL_WAWE         ( 91U)    // Радиальная волна</v>
      </c>
      <c r="W99" s="2" t="str">
        <f t="shared" ca="1" si="163"/>
        <v>String("91. Радиальная волна,50,255,49,50,0;") +</v>
      </c>
      <c r="X99" s="2" t="str">
        <f t="shared" ca="1" si="164"/>
        <v>String("91. ,50,255,49,50,0;") +</v>
      </c>
      <c r="Y99" s="2" t="str">
        <f t="shared" ca="1" si="165"/>
        <v>String("91. ,50,255,49,50,0;") +</v>
      </c>
      <c r="Z99" s="2" t="str">
        <f t="shared" ca="1" si="166"/>
        <v>91;8;220;50;Радиальная волна</v>
      </c>
      <c r="AA99" s="2" t="str">
        <f t="shared" ca="1" si="167"/>
        <v xml:space="preserve">        case EFF_RADIAL_WAWE:         DYNAMIC_DELAY_TICK { effTimer = millis(); RadialWave();                 Eff_Tick (); }  break;  // ( 91U) Радиальная волна</v>
      </c>
      <c r="AB99" s="2" t="str">
        <f ca="1">CONCATENATE("{""name"":""",A99,". ",C99,""",""spmin"":",L99,",""spmax"":",M99,",""scmin"":",N99,",""scmax"":",O99,",""type"":",P99,"}")</f>
        <v>{"name":"91. Радиальная волна","spmin":50,"spmax":255,"scmin":49,"scmax":50,"type":0}</v>
      </c>
      <c r="AC99" s="4" t="str">
        <f t="shared" ca="1" si="168"/>
        <v>"e91":0,</v>
      </c>
      <c r="AD99" s="4" t="str">
        <f t="shared" ca="1" si="169"/>
        <v>e91=[[e91]]&amp;</v>
      </c>
      <c r="AE99" s="4" t="str">
        <f t="shared" ca="1" si="170"/>
        <v>"e91":2,</v>
      </c>
      <c r="AF99" s="2" t="str">
        <f t="shared" ca="1" si="171"/>
        <v>{"type":"checkbox","class":"checkbox-big","name":"e91","title":"91. Радиальная волна","style":"font-size:16px;display:block","state":"{{e91}}"},</v>
      </c>
      <c r="AG99" s="2" t="str">
        <f t="shared" ca="1" si="172"/>
        <v>{"type":"h4","title":"91. Радиальная волна","style":"font-size:14px;width:85%;float:left"},{"type":"input","title":"папка","name":"e91","state":"{{e91}}","pattern":"[0-9]{1,2}","style":"background: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99" s="2" t="str">
        <f t="shared" ca="1" si="173"/>
        <v>"91": "91.Радиальная волна",</v>
      </c>
      <c r="AI99" s="16"/>
      <c r="AJ99" s="2" t="str">
        <f t="shared" ca="1" si="174"/>
        <v>91. Радиальная волна,50,255,49,50,0;</v>
      </c>
      <c r="AK99" s="2" t="str">
        <f t="shared" ca="1" si="175"/>
        <v>91.Радиальная волна</v>
      </c>
      <c r="AL99" s="29" t="s">
        <v>434</v>
      </c>
      <c r="AM99" s="2"/>
      <c r="AN99" s="17"/>
      <c r="AO99" s="2"/>
      <c r="AP99" s="2"/>
      <c r="AQ99" s="2"/>
      <c r="AR99" s="2"/>
      <c r="AS99" s="16"/>
      <c r="AT99" s="2"/>
      <c r="AU99" s="2"/>
      <c r="AV99" s="18"/>
      <c r="AW99" s="18"/>
      <c r="AX99" s="18"/>
      <c r="AY99" s="18"/>
      <c r="AZ99" s="18"/>
      <c r="BA99" s="18"/>
      <c r="BB99" s="18"/>
      <c r="BC99" s="18"/>
      <c r="BD99" s="18"/>
    </row>
    <row r="100" spans="1:56" ht="14.25" customHeight="1">
      <c r="A100" s="33">
        <f t="shared" ca="1" si="160"/>
        <v>92</v>
      </c>
      <c r="B100" s="38" t="s">
        <v>274</v>
      </c>
      <c r="C100" s="38" t="s">
        <v>275</v>
      </c>
      <c r="H100" s="38">
        <v>5</v>
      </c>
      <c r="I100" s="38">
        <v>215</v>
      </c>
      <c r="J100" s="38">
        <v>50</v>
      </c>
      <c r="L100" s="38">
        <v>50</v>
      </c>
      <c r="M100" s="38">
        <v>255</v>
      </c>
      <c r="N100" s="38">
        <v>1</v>
      </c>
      <c r="O100" s="38">
        <v>100</v>
      </c>
      <c r="P100" s="38">
        <v>0</v>
      </c>
      <c r="Q100" s="38" t="s">
        <v>39</v>
      </c>
      <c r="R100" s="38" t="s">
        <v>276</v>
      </c>
      <c r="S100" s="38">
        <v>2</v>
      </c>
      <c r="T100" s="38">
        <f t="shared" ca="1" si="161"/>
        <v>92</v>
      </c>
      <c r="U100" s="15"/>
      <c r="V100" s="2" t="str">
        <f t="shared" ca="1" si="162"/>
        <v>#define EFF_RAINBOW_VER         ( 92U)    // Радуга</v>
      </c>
      <c r="W100" s="2" t="str">
        <f t="shared" ca="1" si="163"/>
        <v>String("92. Радуга,50,255,1,100,0;") +</v>
      </c>
      <c r="X100" s="2" t="str">
        <f t="shared" ca="1" si="164"/>
        <v>String("92. ,50,255,1,100,0;") +</v>
      </c>
      <c r="Y100" s="2" t="str">
        <f t="shared" ca="1" si="165"/>
        <v>String("92. ,50,255,1,100,0;") +</v>
      </c>
      <c r="Z100" s="2" t="str">
        <f t="shared" ca="1" si="166"/>
        <v>92;5;215;50;Радуга</v>
      </c>
      <c r="AA100" s="2" t="str">
        <f t="shared" ca="1" si="167"/>
        <v xml:space="preserve">        case EFF_RAINBOW_VER:         DYNAMIC_DELAY_TICK { effTimer = millis(); rainbowRoutine();             Eff_Tick (); }  break;  // ( 92U) Радуга</v>
      </c>
      <c r="AB100" s="2" t="str">
        <f t="shared" ref="AB100:AB101" ca="1" si="177">CONCATENATE("{""name"":""",A100,". ",C100,""",""spmin"":",L100,",""spmax"":",M100,",""scmin"":",N100,",""scmax"":",O100,",""type"":",P100,"},")</f>
        <v>{"name":"92. Радуга","spmin":50,"spmax":255,"scmin":1,"scmax":100,"type":0},</v>
      </c>
      <c r="AC100" s="4" t="str">
        <f t="shared" ca="1" si="168"/>
        <v>"e92":0,</v>
      </c>
      <c r="AD100" s="4" t="str">
        <f t="shared" ca="1" si="169"/>
        <v>e92=[[e92]]&amp;</v>
      </c>
      <c r="AE100" s="4" t="str">
        <f t="shared" ca="1" si="170"/>
        <v>"e92":2,</v>
      </c>
      <c r="AF100" s="2" t="str">
        <f t="shared" ca="1" si="171"/>
        <v>{"type":"checkbox","class":"checkbox-big","name":"e92","title":"92. Радуга","style":"font-size:16px;display:block","state":"{{e92}}"},</v>
      </c>
      <c r="AG100" s="2" t="str">
        <f ca="1">CONCATENATE("{""type"":""h4"",""title"":""",A100,". ",C100,""",""style"":""font-size:14px;width:85%;float:left""},{""type"":""input"",""title"":""папка"",""name"":""e",T100,""",""state"":""{{e",T100,"}}"",""pattern"":""[0-9]{1,2}"",""style"":""",AL100,"""},{""type"":""hr""},")</f>
        <v>{"type":"h4","title":"92. Радуга","style":"font-size:14px;width:85%;float:left"},{"type":"input","title":"папка","name":"e92","state":"{{e92}}","pattern":"[0-9]{1,2}","style":"background: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0" s="2" t="str">
        <f t="shared" ca="1" si="173"/>
        <v>"92": "92.Радуга",</v>
      </c>
      <c r="AI100" s="16"/>
      <c r="AJ100" s="2" t="str">
        <f t="shared" ca="1" si="174"/>
        <v>92. Радуга,50,255,1,100,0;</v>
      </c>
      <c r="AK100" s="2" t="str">
        <f t="shared" ca="1" si="175"/>
        <v>92.Радуга</v>
      </c>
      <c r="AL100" s="29" t="s">
        <v>434</v>
      </c>
      <c r="AM100" s="2"/>
      <c r="AN100" s="17"/>
      <c r="AO100" s="2"/>
      <c r="AP100" s="2"/>
      <c r="AQ100" s="2"/>
      <c r="AR100" s="2"/>
      <c r="AS100" s="16"/>
      <c r="AT100" s="2"/>
      <c r="AU100" s="2"/>
      <c r="AV100" s="18"/>
      <c r="AW100" s="18"/>
      <c r="AX100" s="18"/>
      <c r="AY100" s="18"/>
      <c r="AZ100" s="18"/>
      <c r="BA100" s="18"/>
      <c r="BB100" s="18"/>
      <c r="BC100" s="18"/>
      <c r="BD100" s="18"/>
    </row>
    <row r="101" spans="1:56" ht="14.25" customHeight="1">
      <c r="A101" s="33">
        <f ca="1">MAX(OFFSET(A101,-4,0,4,1))+1</f>
        <v>93</v>
      </c>
      <c r="B101" s="38" t="s">
        <v>277</v>
      </c>
      <c r="C101" s="38" t="s">
        <v>278</v>
      </c>
      <c r="H101" s="38">
        <v>5</v>
      </c>
      <c r="I101" s="38">
        <v>13</v>
      </c>
      <c r="J101" s="38">
        <v>60</v>
      </c>
      <c r="L101" s="38">
        <v>1</v>
      </c>
      <c r="M101" s="38">
        <v>70</v>
      </c>
      <c r="N101" s="38">
        <v>1</v>
      </c>
      <c r="O101" s="38">
        <v>100</v>
      </c>
      <c r="P101" s="38">
        <v>0</v>
      </c>
      <c r="Q101" s="38" t="s">
        <v>35</v>
      </c>
      <c r="R101" s="38" t="s">
        <v>279</v>
      </c>
      <c r="S101" s="38">
        <v>2</v>
      </c>
      <c r="T101" s="38">
        <f t="shared" ca="1" si="161"/>
        <v>93</v>
      </c>
      <c r="U101" s="15"/>
      <c r="V101" s="2" t="str">
        <f t="shared" ca="1" si="162"/>
        <v>#define EFF_RAINBOW             ( 93U)    // Радуга 3D</v>
      </c>
      <c r="W101" s="2" t="str">
        <f t="shared" ca="1" si="163"/>
        <v>String("93. Радуга 3D,1,70,1,100,0;") +</v>
      </c>
      <c r="X101" s="2" t="str">
        <f t="shared" ca="1" si="164"/>
        <v>String("93. ,1,70,1,100,0;") +</v>
      </c>
      <c r="Y101" s="2" t="str">
        <f t="shared" ca="1" si="165"/>
        <v>String("93. ,1,70,1,100,0;") +</v>
      </c>
      <c r="Z101" s="2" t="str">
        <f t="shared" ca="1" si="166"/>
        <v>93;5;13;60;Радуга 3D</v>
      </c>
      <c r="AA101" s="2" t="str">
        <f t="shared" ca="1" si="167"/>
        <v xml:space="preserve">        case EFF_RAINBOW:             HIGH_DELAY_TICK { effTimer = millis(); rainbowNoiseRoutine();        Eff_Tick (); }  break;  // ( 93U) Радуга 3D</v>
      </c>
      <c r="AB101" s="2" t="str">
        <f t="shared" ca="1" si="177"/>
        <v>{"name":"93. Радуга 3D","spmin":1,"spmax":70,"scmin":1,"scmax":100,"type":0},</v>
      </c>
      <c r="AC101" s="4" t="str">
        <f t="shared" ca="1" si="168"/>
        <v>"e93":0,</v>
      </c>
      <c r="AD101" s="4" t="str">
        <f t="shared" ca="1" si="169"/>
        <v>e93=[[e93]]&amp;</v>
      </c>
      <c r="AE101" s="4" t="str">
        <f t="shared" ca="1" si="170"/>
        <v>"e93":2,</v>
      </c>
      <c r="AF101" s="2" t="str">
        <f t="shared" ca="1" si="171"/>
        <v>{"type":"checkbox","class":"checkbox-big","name":"e93","title":"93. Радуга 3D","style":"font-size:16px;display:block","state":"{{e93}}"},</v>
      </c>
      <c r="AG101" s="2" t="str">
        <f t="shared" ca="1" si="172"/>
        <v>{"type":"h4","title":"93. Радуга 3D","style":"font-size:14px;width:85%;float:left"},{"type":"input","title":"папка","name":"e93","state":"{{e93}}","pattern":"[0-9]{1,2}","style":"background: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1" s="2" t="str">
        <f t="shared" ca="1" si="173"/>
        <v>"93": "93.Радуга 3D",</v>
      </c>
      <c r="AI101" s="16"/>
      <c r="AJ101" s="2" t="str">
        <f t="shared" ca="1" si="174"/>
        <v>93. Радуга 3D,1,70,1,100,0;</v>
      </c>
      <c r="AK101" s="2" t="str">
        <f t="shared" ca="1" si="175"/>
        <v>93.Радуга 3D</v>
      </c>
      <c r="AL101" s="29" t="s">
        <v>434</v>
      </c>
      <c r="AM101" s="2"/>
      <c r="AN101" s="17"/>
      <c r="AO101" s="2"/>
      <c r="AP101" s="2"/>
      <c r="AQ101" s="2"/>
      <c r="AR101" s="2"/>
      <c r="AS101" s="16"/>
      <c r="AT101" s="2"/>
      <c r="AU101" s="2"/>
      <c r="AV101" s="18"/>
      <c r="AW101" s="18"/>
      <c r="AX101" s="18"/>
      <c r="AY101" s="18"/>
      <c r="AZ101" s="18"/>
      <c r="BA101" s="18"/>
      <c r="BB101" s="18"/>
      <c r="BC101" s="18"/>
      <c r="BD101" s="18"/>
    </row>
    <row r="102" spans="1:56">
      <c r="A102" s="33">
        <f ca="1">MAX(OFFSET(A102,-4,0,4,1))+1</f>
        <v>94</v>
      </c>
      <c r="B102" s="38" t="s">
        <v>421</v>
      </c>
      <c r="C102" s="38" t="s">
        <v>419</v>
      </c>
      <c r="H102" s="38">
        <v>20</v>
      </c>
      <c r="I102" s="38">
        <v>200</v>
      </c>
      <c r="J102" s="38">
        <v>40</v>
      </c>
      <c r="L102" s="38">
        <v>1</v>
      </c>
      <c r="M102" s="38">
        <v>255</v>
      </c>
      <c r="N102" s="38">
        <v>1</v>
      </c>
      <c r="O102" s="38">
        <v>100</v>
      </c>
      <c r="P102" s="38">
        <v>0</v>
      </c>
      <c r="Q102" s="38" t="s">
        <v>39</v>
      </c>
      <c r="R102" s="38" t="s">
        <v>422</v>
      </c>
      <c r="S102" s="38">
        <v>2</v>
      </c>
      <c r="T102" s="38">
        <f t="shared" ca="1" si="161"/>
        <v>94</v>
      </c>
      <c r="V102" s="2" t="str">
        <f t="shared" ca="1" si="162"/>
        <v>#define EFF_RAINBOW_SPOT        ( 94U)    // Радужное Пятно</v>
      </c>
      <c r="W102" s="2" t="str">
        <f t="shared" ca="1" si="163"/>
        <v>String("94. Радужное Пятно,1,255,1,100,0;") +</v>
      </c>
      <c r="X102" s="2" t="str">
        <f t="shared" ca="1" si="164"/>
        <v>String("94. ,1,255,1,100,0;") +</v>
      </c>
      <c r="Y102" s="2" t="str">
        <f t="shared" ca="1" si="165"/>
        <v>String("94. ,1,255,1,100,0;") +</v>
      </c>
      <c r="Z102" s="2" t="str">
        <f t="shared" ca="1" si="166"/>
        <v>94;20;200;40;Радужное Пятно</v>
      </c>
      <c r="AA102" s="2" t="str">
        <f t="shared" ca="1" si="167"/>
        <v xml:space="preserve">        case EFF_RAINBOW_SPOT:        DYNAMIC_DELAY_TICK { effTimer = millis(); RainbowSpot();                Eff_Tick (); }  break;  // ( 94U) Радужное Пятно</v>
      </c>
      <c r="AC102" s="4" t="str">
        <f t="shared" ca="1" si="168"/>
        <v>"e94":0,</v>
      </c>
      <c r="AD102" s="4" t="str">
        <f t="shared" ca="1" si="169"/>
        <v>e94=[[e94]]&amp;</v>
      </c>
      <c r="AE102" s="4" t="str">
        <f t="shared" ca="1" si="170"/>
        <v>"e94":2,</v>
      </c>
      <c r="AF102" s="2" t="str">
        <f t="shared" ca="1" si="171"/>
        <v>{"type":"checkbox","class":"checkbox-big","name":"e94","title":"94. Радужное Пятно","style":"font-size:16px;display:block","state":"{{e94}}"},</v>
      </c>
      <c r="AG102" s="2" t="str">
        <f t="shared" ca="1" si="172"/>
        <v>{"type":"h4","title":"94. Радужное Пятно","style":"font-size:14px;width:85%;float:left"},{"type":"input","title":"папка","name":"e94","state":"{{e94}}","pattern":"[0-9]{1,2}","style":"background: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2" s="2" t="str">
        <f t="shared" ca="1" si="173"/>
        <v>"94": "94.Радужное Пятно",</v>
      </c>
      <c r="AI102" s="16"/>
      <c r="AJ102" s="2" t="str">
        <f t="shared" ca="1" si="174"/>
        <v>94. Радужное Пятно,1,255,1,100,0;</v>
      </c>
      <c r="AK102" s="2" t="str">
        <f t="shared" ca="1" si="175"/>
        <v>94.Радужное Пятно</v>
      </c>
      <c r="AL102" s="29" t="s">
        <v>434</v>
      </c>
    </row>
    <row r="103" spans="1:56">
      <c r="A103" s="33">
        <f ca="1">MAX(OFFSET(A103,-4,0,4,1))+1</f>
        <v>95</v>
      </c>
      <c r="B103" s="38" t="s">
        <v>427</v>
      </c>
      <c r="C103" s="38" t="s">
        <v>425</v>
      </c>
      <c r="H103" s="38">
        <v>10</v>
      </c>
      <c r="I103" s="38">
        <v>128</v>
      </c>
      <c r="J103" s="38">
        <v>25</v>
      </c>
      <c r="L103" s="38">
        <v>127</v>
      </c>
      <c r="M103" s="38">
        <v>128</v>
      </c>
      <c r="N103" s="38">
        <v>1</v>
      </c>
      <c r="O103" s="38">
        <v>100</v>
      </c>
      <c r="P103" s="38">
        <v>0</v>
      </c>
      <c r="Q103" s="38" t="s">
        <v>39</v>
      </c>
      <c r="R103" s="38" t="s">
        <v>426</v>
      </c>
      <c r="S103" s="38">
        <v>2</v>
      </c>
      <c r="T103" s="38">
        <f t="shared" ca="1" si="161"/>
        <v>95</v>
      </c>
      <c r="V103" s="2" t="str">
        <f t="shared" ca="1" si="162"/>
        <v>#define EFF_RAINBOW_RINGS       ( 95U)    // Радужные кольца</v>
      </c>
      <c r="W103" s="2" t="str">
        <f t="shared" ca="1" si="163"/>
        <v>String("95. Радужные кольца,127,128,1,100,0;") +</v>
      </c>
      <c r="X103" s="2" t="str">
        <f t="shared" ca="1" si="164"/>
        <v>String("95. ,127,128,1,100,0;") +</v>
      </c>
      <c r="Y103" s="2" t="str">
        <f t="shared" ca="1" si="165"/>
        <v>String("95. ,127,128,1,100,0;") +</v>
      </c>
      <c r="Z103" s="2" t="str">
        <f t="shared" ca="1" si="166"/>
        <v>95;10;128;25;Радужные кольца</v>
      </c>
      <c r="AA103" s="2" t="str">
        <f t="shared" ca="1" si="167"/>
        <v xml:space="preserve">        case EFF_RAINBOW_RINGS:       DYNAMIC_DELAY_TICK { effTimer = millis(); RainbowRings();               Eff_Tick (); }  break;  // ( 95U) Радужные кольца</v>
      </c>
      <c r="AC103" s="4" t="str">
        <f t="shared" ca="1" si="168"/>
        <v>"e95":0,</v>
      </c>
      <c r="AD103" s="4" t="str">
        <f t="shared" ca="1" si="169"/>
        <v>e95=[[e95]]&amp;</v>
      </c>
      <c r="AE103" s="4" t="str">
        <f t="shared" ca="1" si="170"/>
        <v>"e95":2,</v>
      </c>
      <c r="AF103" s="2" t="str">
        <f t="shared" ca="1" si="171"/>
        <v>{"type":"checkbox","class":"checkbox-big","name":"e95","title":"95. Радужные кольца","style":"font-size:16px;display:block","state":"{{e95}}"},</v>
      </c>
      <c r="AG103" s="2" t="str">
        <f t="shared" ca="1" si="172"/>
        <v>{"type":"h4","title":"95. Радужные кольца","style":"font-size:14px;width:85%;float:left"},{"type":"input","title":"папка","name":"e95","state":"{{e95}}","pattern":"[0-9]{1,2}","style":"background: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3" s="2" t="str">
        <f t="shared" ca="1" si="173"/>
        <v>"95": "95.Радужные кольца",</v>
      </c>
      <c r="AI103" s="16"/>
      <c r="AJ103" s="2" t="str">
        <f t="shared" ca="1" si="174"/>
        <v>95. Радужные кольца,127,128,1,100,0;</v>
      </c>
      <c r="AK103" s="2" t="str">
        <f t="shared" ca="1" si="175"/>
        <v>95.Радужные кольца</v>
      </c>
      <c r="AL103" s="29" t="s">
        <v>434</v>
      </c>
    </row>
    <row r="104" spans="1:56" ht="14.25" customHeight="1">
      <c r="A104" s="33">
        <f ca="1">MAX(OFFSET(A104,-4,0,4,1))+1</f>
        <v>96</v>
      </c>
      <c r="B104" s="38" t="s">
        <v>280</v>
      </c>
      <c r="C104" s="38" t="s">
        <v>281</v>
      </c>
      <c r="H104" s="38">
        <v>8</v>
      </c>
      <c r="I104" s="38">
        <v>205</v>
      </c>
      <c r="J104" s="38">
        <v>100</v>
      </c>
      <c r="L104" s="38">
        <v>99</v>
      </c>
      <c r="M104" s="38">
        <v>255</v>
      </c>
      <c r="N104" s="38">
        <v>100</v>
      </c>
      <c r="O104" s="38">
        <v>100</v>
      </c>
      <c r="P104" s="38">
        <v>0</v>
      </c>
      <c r="Q104" s="38" t="s">
        <v>39</v>
      </c>
      <c r="R104" s="38" t="s">
        <v>282</v>
      </c>
      <c r="S104" s="38">
        <v>2</v>
      </c>
      <c r="T104" s="38">
        <f ca="1">MAX(OFFSET(T104,-4,0,4,1))+1</f>
        <v>96</v>
      </c>
      <c r="U104" s="15"/>
      <c r="V104" s="2" t="str">
        <f ca="1">CONCATENATE("#define EFF_",B104,REPT(" ",20-LEN(B104)),"(",REPT(" ",3-LEN(T104)),T104,"U)    // ",C104)</f>
        <v>#define EFF_SNAKE               ( 96U)    // Радужный змей</v>
      </c>
      <c r="W104" s="2" t="str">
        <f ca="1">CONCATENATE("String(""",A104,". ",C104,",",L104,",",M104,",",N104,",",O104,",",P104,";"") +")</f>
        <v>String("96. Радужный змей,99,255,100,100,0;") +</v>
      </c>
      <c r="X104" s="2" t="str">
        <f ca="1">CONCATENATE("String(""",A104,". ",D104,",",L104,",",M104,",",N104,",",O104,",",P104,";"") +")</f>
        <v>String("96. ,99,255,100,100,0;") +</v>
      </c>
      <c r="Y104" s="2" t="str">
        <f ca="1">CONCATENATE("String(""",A104,". ",E104,",",L104,",",M104,",",N104,",",O104,",",P104,";"") +")</f>
        <v>String("96. ,99,255,100,100,0;") +</v>
      </c>
      <c r="Z104" s="2" t="str">
        <f t="shared" ca="1" si="166"/>
        <v>96;8;205;100;Радужный змей</v>
      </c>
      <c r="AA104" s="2" t="str">
        <f ca="1">CONCATENATE("        case EFF_",B104,":",REPT(" ",20-LEN(B104)),Q104," { effTimer = millis(); ",R104,REPT(" ",30-LEN(R104)),"Eff_Tick (); }","  break;  // (",REPT(" ",3-LEN(T104)),T104,"U) ",C104)</f>
        <v xml:space="preserve">        case EFF_SNAKE:               DYNAMIC_DELAY_TICK { effTimer = millis(); MultipleStream8();            Eff_Tick (); }  break;  // ( 96U) Радужный змей</v>
      </c>
      <c r="AB104" s="2" t="str">
        <f ca="1">CONCATENATE("{""name"":""",A104,". ",C104,""",""spmin"":",L104,",""spmax"":",M104,",""scmin"":",N104,",""scmax"":",O104,",""type"":",P104,"},")</f>
        <v>{"name":"96. Радужный змей","spmin":99,"spmax":255,"scmin":100,"scmax":100,"type":0},</v>
      </c>
      <c r="AC104" s="4" t="str">
        <f ca="1">CONCATENATE("""","e",T104,"""",":0,")</f>
        <v>"e96":0,</v>
      </c>
      <c r="AD104" s="4" t="str">
        <f ca="1">CONCATENATE("e",T104,"=[[e",T104,"]]&amp;")</f>
        <v>e96=[[e96]]&amp;</v>
      </c>
      <c r="AE104" s="4" t="str">
        <f ca="1">CONCATENATE("""","e",T104,"""",":",S104,",")</f>
        <v>"e96":2,</v>
      </c>
      <c r="AF104" s="2" t="str">
        <f t="shared" ca="1" si="171"/>
        <v>{"type":"checkbox","class":"checkbox-big","name":"e96","title":"96. Радужный змей","style":"font-size:16px;display:block","state":"{{e96}}"},</v>
      </c>
      <c r="AG104" s="2" t="str">
        <f t="shared" ca="1" si="172"/>
        <v>{"type":"h4","title":"96. Радужный змей","style":"font-size:14px;width:85%;float:left"},{"type":"input","title":"папка","name":"e96","state":"{{e96}}","pattern":"[0-9]{1,2}","style":"background: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4" s="2" t="str">
        <f ca="1">CONCATENATE("""",A104,"""",": """,A104,".",C104,""",")</f>
        <v>"96": "96.Радужный змей",</v>
      </c>
      <c r="AI104" s="16"/>
      <c r="AJ104" s="2" t="str">
        <f ca="1">CONCATENATE(A104,". ",C104,",",L104,",",M104,",",N104,",",O104,",",P104,";")</f>
        <v>96. Радужный змей,99,255,100,100,0;</v>
      </c>
      <c r="AK104" s="2" t="str">
        <f t="shared" ca="1" si="175"/>
        <v>96.Радужный змей</v>
      </c>
      <c r="AL104" s="29" t="s">
        <v>434</v>
      </c>
      <c r="AM104" s="2"/>
      <c r="AN104" s="17"/>
      <c r="AO104" s="2"/>
      <c r="AP104" s="2"/>
      <c r="AQ104" s="2"/>
      <c r="AR104" s="2"/>
      <c r="AS104" s="16"/>
      <c r="AT104" s="2"/>
      <c r="AU104" s="2"/>
      <c r="AV104" s="18"/>
      <c r="AW104" s="18"/>
      <c r="AX104" s="18"/>
      <c r="AY104" s="18"/>
      <c r="AZ104" s="18"/>
      <c r="BA104" s="18"/>
      <c r="BB104" s="18"/>
      <c r="BC104" s="18"/>
      <c r="BD104" s="18"/>
    </row>
    <row r="105" spans="1:56" ht="14.25" customHeight="1">
      <c r="A105" s="33">
        <f t="shared" ref="A105:A106" ca="1" si="178">MAX(OFFSET(A105,-4,0,4,1))+1</f>
        <v>97</v>
      </c>
      <c r="B105" s="38" t="s">
        <v>283</v>
      </c>
      <c r="C105" s="38" t="s">
        <v>284</v>
      </c>
      <c r="H105" s="38">
        <v>8</v>
      </c>
      <c r="I105" s="38">
        <v>205</v>
      </c>
      <c r="J105" s="38">
        <v>1</v>
      </c>
      <c r="L105" s="38">
        <v>99</v>
      </c>
      <c r="M105" s="38">
        <v>255</v>
      </c>
      <c r="N105" s="38">
        <v>1</v>
      </c>
      <c r="O105" s="38">
        <v>100</v>
      </c>
      <c r="P105" s="38">
        <v>1</v>
      </c>
      <c r="Q105" s="38" t="s">
        <v>39</v>
      </c>
      <c r="R105" s="38" t="s">
        <v>285</v>
      </c>
      <c r="S105" s="38">
        <v>2</v>
      </c>
      <c r="T105" s="38">
        <f t="shared" ref="T105:T106" ca="1" si="179">MAX(OFFSET(T105,-4,0,4,1))+1</f>
        <v>97</v>
      </c>
      <c r="U105" s="15"/>
      <c r="V105" s="2" t="str">
        <f t="shared" ref="V105:V106" ca="1" si="180">CONCATENATE("#define EFF_",B105,REPT(" ",20-LEN(B105)),"(",REPT(" ",3-LEN(T105)),T105,"U)    // ",C105)</f>
        <v>#define EFF_RAIN                ( 97U)    // Разноцветный дождь</v>
      </c>
      <c r="W105" s="2" t="str">
        <f t="shared" ref="W105:W106" ca="1" si="181">CONCATENATE("String(""",A105,". ",C105,",",L105,",",M105,",",N105,",",O105,",",P105,";"") +")</f>
        <v>String("97. Разноцветный дождь,99,255,1,100,1;") +</v>
      </c>
      <c r="X105" s="2" t="str">
        <f t="shared" ref="X105:X106" ca="1" si="182">CONCATENATE("String(""",A105,". ",D105,",",L105,",",M105,",",N105,",",O105,",",P105,";"") +")</f>
        <v>String("97. ,99,255,1,100,1;") +</v>
      </c>
      <c r="Y105" s="2" t="str">
        <f t="shared" ref="Y105:Y106" ca="1" si="183">CONCATENATE("String(""",A105,". ",E105,",",L105,",",M105,",",N105,",",O105,",",P105,";"") +")</f>
        <v>String("97. ,99,255,1,100,1;") +</v>
      </c>
      <c r="Z105" s="2" t="str">
        <f t="shared" ca="1" si="166"/>
        <v>97;8;205;1;Разноцветный дождь</v>
      </c>
      <c r="AA105" s="2" t="str">
        <f t="shared" ref="AA105:AA106" ca="1" si="184">CONCATENATE("        case EFF_",B105,":",REPT(" ",20-LEN(B105)),Q105," { effTimer = millis(); ",R105,REPT(" ",30-LEN(R105)),"Eff_Tick (); }","  break;  // (",REPT(" ",3-LEN(T105)),T105,"U) ",C105)</f>
        <v xml:space="preserve">        case EFF_RAIN:                DYNAMIC_DELAY_TICK { effTimer = millis(); RainRoutine();                Eff_Tick (); }  break;  // ( 97U) Разноцветный дождь</v>
      </c>
      <c r="AB105" s="2" t="str">
        <f t="shared" ref="AB105" ca="1" si="185">CONCATENATE("{""name"":""",A105,". ",C105,""",""spmin"":",L105,",""spmax"":",M105,",""scmin"":",N105,",""scmax"":",O105,",""type"":",P105,"},")</f>
        <v>{"name":"97. Разноцветный дождь","spmin":99,"spmax":255,"scmin":1,"scmax":100,"type":1},</v>
      </c>
      <c r="AC105" s="4" t="str">
        <f t="shared" ref="AC105:AC106" ca="1" si="186">CONCATENATE("""","e",T105,"""",":0,")</f>
        <v>"e97":0,</v>
      </c>
      <c r="AD105" s="4" t="str">
        <f t="shared" ref="AD105:AD106" ca="1" si="187">CONCATENATE("e",T105,"=[[e",T105,"]]&amp;")</f>
        <v>e97=[[e97]]&amp;</v>
      </c>
      <c r="AE105" s="4" t="str">
        <f t="shared" ref="AE105:AE106" ca="1" si="188">CONCATENATE("""","e",T105,"""",":",S105,",")</f>
        <v>"e97":2,</v>
      </c>
      <c r="AF105" s="2" t="str">
        <f t="shared" ca="1" si="171"/>
        <v>{"type":"checkbox","class":"checkbox-big","name":"e97","title":"97. Разноцветный дождь","style":"font-size:16px;display:block","state":"{{e97}}"},</v>
      </c>
      <c r="AG105" s="2" t="str">
        <f t="shared" ca="1" si="172"/>
        <v>{"type":"h4","title":"97. Разноцветный дождь","style":"font-size:14px;width:85%;float:left"},{"type":"input","title":"папка","name":"e97","state":"{{e97}}","pattern":"[0-9]{1,2}","style":"background: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5" s="2" t="str">
        <f t="shared" ref="AH105:AH106" ca="1" si="189">CONCATENATE("""",A105,"""",": """,A105,".",C105,""",")</f>
        <v>"97": "97.Разноцветный дождь",</v>
      </c>
      <c r="AI105" s="16"/>
      <c r="AJ105" s="2" t="str">
        <f t="shared" ref="AJ105:AJ106" ca="1" si="190">CONCATENATE(A105,". ",C105,",",L105,",",M105,",",N105,",",O105,",",P105,";")</f>
        <v>97. Разноцветный дождь,99,255,1,100,1;</v>
      </c>
      <c r="AK105" s="2" t="str">
        <f t="shared" ca="1" si="175"/>
        <v>97.Разноцветный дождь</v>
      </c>
      <c r="AL105" s="29" t="s">
        <v>434</v>
      </c>
      <c r="AM105" s="2"/>
      <c r="AN105" s="17"/>
      <c r="AO105" s="2"/>
      <c r="AP105" s="2"/>
      <c r="AQ105" s="2"/>
      <c r="AR105" s="2"/>
      <c r="AS105" s="16"/>
      <c r="AT105" s="2"/>
      <c r="AU105" s="2"/>
      <c r="AV105" s="18"/>
      <c r="AW105" s="18"/>
      <c r="AX105" s="18"/>
      <c r="AY105" s="18"/>
      <c r="AZ105" s="18"/>
      <c r="BA105" s="18"/>
      <c r="BB105" s="18"/>
      <c r="BC105" s="18"/>
      <c r="BD105" s="18"/>
    </row>
    <row r="106" spans="1:56">
      <c r="A106" s="33">
        <f t="shared" ca="1" si="178"/>
        <v>98</v>
      </c>
      <c r="B106" s="55" t="s">
        <v>428</v>
      </c>
      <c r="C106" s="55" t="s">
        <v>429</v>
      </c>
      <c r="D106" s="54"/>
      <c r="E106" s="54"/>
      <c r="F106" s="54"/>
      <c r="G106" s="54"/>
      <c r="H106" s="55">
        <v>10</v>
      </c>
      <c r="I106" s="52">
        <v>50</v>
      </c>
      <c r="J106" s="52">
        <v>90</v>
      </c>
      <c r="K106" s="54"/>
      <c r="L106" s="52">
        <v>10</v>
      </c>
      <c r="M106" s="52">
        <v>255</v>
      </c>
      <c r="N106" s="52">
        <v>1</v>
      </c>
      <c r="O106" s="52">
        <v>100</v>
      </c>
      <c r="P106" s="52">
        <v>0</v>
      </c>
      <c r="Q106" s="55" t="s">
        <v>430</v>
      </c>
      <c r="R106" s="55" t="s">
        <v>431</v>
      </c>
      <c r="S106" s="52">
        <v>2</v>
      </c>
      <c r="T106" s="52">
        <f t="shared" ca="1" si="179"/>
        <v>98</v>
      </c>
      <c r="V106" s="2" t="str">
        <f t="shared" ca="1" si="180"/>
        <v>#define EFF_DANDELIONS          ( 98U)    // Разноцветные одуванчики</v>
      </c>
      <c r="W106" s="2" t="str">
        <f t="shared" ca="1" si="181"/>
        <v>String("98. Разноцветные одуванчики,10,255,1,100,0;") +</v>
      </c>
      <c r="X106" s="2" t="str">
        <f t="shared" ca="1" si="182"/>
        <v>String("98. ,10,255,1,100,0;") +</v>
      </c>
      <c r="Y106" s="2" t="str">
        <f t="shared" ca="1" si="183"/>
        <v>String("98. ,10,255,1,100,0;") +</v>
      </c>
      <c r="Z106" s="2" t="str">
        <f t="shared" ca="1" si="166"/>
        <v>98;10;50;90;Разноцветные одуванчики</v>
      </c>
      <c r="AA106" s="2" t="str">
        <f t="shared" ca="1" si="184"/>
        <v xml:space="preserve">        case EFF_DANDELIONS:          SOFT_DELAY_TICK  { effTimer = millis(); Dandelions();                 Eff_Tick (); }  break;  // ( 98U) Разноцветные одуванчики</v>
      </c>
      <c r="AC106" s="4" t="str">
        <f t="shared" ca="1" si="186"/>
        <v>"e98":0,</v>
      </c>
      <c r="AD106" s="4" t="str">
        <f t="shared" ca="1" si="187"/>
        <v>e98=[[e98]]&amp;</v>
      </c>
      <c r="AE106" s="4" t="str">
        <f t="shared" ca="1" si="188"/>
        <v>"e98":2,</v>
      </c>
      <c r="AF106" s="2" t="str">
        <f t="shared" ca="1" si="171"/>
        <v>{"type":"checkbox","class":"checkbox-big","name":"e98","title":"98. Разноцветные одуванчики","style":"font-size:16px;display:block","state":"{{e98}}"},</v>
      </c>
      <c r="AG106" s="2" t="str">
        <f t="shared" ca="1" si="172"/>
        <v>{"type":"h4","title":"98. Разноцветные одуванчики","style":"font-size:14px;width:85%;float:left"},{"type":"input","title":"папка","name":"e98","state":"{{e98}}","pattern":"[0-9]{1,2}","style":"background: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6" s="2" t="str">
        <f t="shared" ca="1" si="189"/>
        <v>"98": "98.Разноцветные одуванчики",</v>
      </c>
      <c r="AI106" s="16"/>
      <c r="AJ106" s="2" t="str">
        <f t="shared" ca="1" si="190"/>
        <v>98. Разноцветные одуванчики,10,255,1,100,0;</v>
      </c>
      <c r="AK106" s="2" t="str">
        <f t="shared" ca="1" si="175"/>
        <v>98.Разноцветные одуванчики</v>
      </c>
      <c r="AL106" s="29" t="s">
        <v>434</v>
      </c>
    </row>
    <row r="107" spans="1:56" ht="14.25" customHeight="1">
      <c r="A107" s="33">
        <f ca="1">MAX(OFFSET(A107,-4,0,4,1))+1</f>
        <v>99</v>
      </c>
      <c r="B107" s="38" t="s">
        <v>286</v>
      </c>
      <c r="C107" s="38" t="s">
        <v>287</v>
      </c>
      <c r="H107" s="38">
        <v>6</v>
      </c>
      <c r="I107" s="38">
        <v>175</v>
      </c>
      <c r="J107" s="38">
        <v>50</v>
      </c>
      <c r="L107" s="38">
        <v>1</v>
      </c>
      <c r="M107" s="38">
        <v>255</v>
      </c>
      <c r="N107" s="38">
        <v>1</v>
      </c>
      <c r="O107" s="38">
        <v>100</v>
      </c>
      <c r="P107" s="38">
        <v>0</v>
      </c>
      <c r="Q107" s="38" t="s">
        <v>39</v>
      </c>
      <c r="R107" s="38" t="s">
        <v>288</v>
      </c>
      <c r="S107" s="38">
        <v>2</v>
      </c>
      <c r="T107" s="38">
        <f ca="1">MAX(OFFSET(T107,-4,0,4,1))+1</f>
        <v>99</v>
      </c>
      <c r="U107" s="15"/>
      <c r="V107" s="2" t="str">
        <f ca="1">CONCATENATE("#define EFF_",B107,REPT(" ",20-LEN(B107)),"(",REPT(" ",3-LEN(T107)),T107,"U)    // ",C107)</f>
        <v>#define EFF_RIVERS              ( 99U)    // Реки Ботсваны</v>
      </c>
      <c r="W107" s="2" t="str">
        <f ca="1">CONCATENATE("String(""",A107,". ",C107,",",L107,",",M107,",",N107,",",O107,",",P107,";"") +")</f>
        <v>String("99. Реки Ботсваны,1,255,1,100,0;") +</v>
      </c>
      <c r="X107" s="2" t="str">
        <f ca="1">CONCATENATE("String(""",A107,". ",D107,",",L107,",",M107,",",N107,",",O107,",",P107,";"") +")</f>
        <v>String("99. ,1,255,1,100,0;") +</v>
      </c>
      <c r="Y107" s="2" t="str">
        <f ca="1">CONCATENATE("String(""",A107,". ",E107,",",L107,",",M107,",",N107,",",O107,",",P107,";"") +")</f>
        <v>String("99. ,1,255,1,100,0;") +</v>
      </c>
      <c r="Z107" s="2" t="str">
        <f t="shared" ca="1" si="166"/>
        <v>99;6;175;50;Реки Ботсваны</v>
      </c>
      <c r="AA107" s="2" t="str">
        <f ca="1">CONCATENATE("        case EFF_",B107,":",REPT(" ",20-LEN(B107)),Q107," { effTimer = millis(); ",R107,REPT(" ",30-LEN(R107)),"Eff_Tick (); }","  break;  // (",REPT(" ",3-LEN(T107)),T107,"U) ",C107)</f>
        <v xml:space="preserve">        case EFF_RIVERS:              DYNAMIC_DELAY_TICK { effTimer = millis(); BotswanaRivers();             Eff_Tick (); }  break;  // ( 99U) Реки Ботсваны</v>
      </c>
      <c r="AB107" s="2" t="str">
        <f ca="1">CONCATENATE("{""name"":""",A107,". ",C107,""",""spmin"":",L107,",""spmax"":",M107,",""scmin"":",N107,",""scmax"":",O107,",""type"":",P107,"},")</f>
        <v>{"name":"99. Реки Ботсваны","spmin":1,"spmax":255,"scmin":1,"scmax":100,"type":0},</v>
      </c>
      <c r="AC107" s="4" t="str">
        <f ca="1">CONCATENATE("""","e",T107,"""",":0,")</f>
        <v>"e99":0,</v>
      </c>
      <c r="AD107" s="4" t="str">
        <f ca="1">CONCATENATE("e",T107,"=[[e",T107,"]]&amp;")</f>
        <v>e99=[[e99]]&amp;</v>
      </c>
      <c r="AE107" s="4" t="str">
        <f ca="1">CONCATENATE("""","e",T107,"""",":",S107,",")</f>
        <v>"e99":2,</v>
      </c>
      <c r="AF107" s="2" t="str">
        <f t="shared" ca="1" si="171"/>
        <v>{"type":"checkbox","class":"checkbox-big","name":"e99","title":"99. Реки Ботсваны","style":"font-size:16px;display:block","state":"{{e99}}"},</v>
      </c>
      <c r="AG107" s="2" t="str">
        <f t="shared" ca="1" si="172"/>
        <v>{"type":"h4","title":"99. Реки Ботсваны","style":"font-size:14px;width:85%;float:left"},{"type":"input","title":"папка","name":"e99","state":"{{e99}}","pattern":"[0-9]{1,2}","style":"background: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7" s="2" t="str">
        <f ca="1">CONCATENATE("""",A107,"""",": """,A107,".",C107,""",")</f>
        <v>"99": "99.Реки Ботсваны",</v>
      </c>
      <c r="AI107" s="16"/>
      <c r="AJ107" s="2" t="str">
        <f ca="1">CONCATENATE(A107,". ",C107,",",L107,",",M107,",",N107,",",O107,",",P107,";")</f>
        <v>99. Реки Ботсваны,1,255,1,100,0;</v>
      </c>
      <c r="AK107" s="2" t="str">
        <f t="shared" ca="1" si="175"/>
        <v>99.Реки Ботсваны</v>
      </c>
      <c r="AL107" s="29" t="s">
        <v>434</v>
      </c>
      <c r="AM107" s="2"/>
      <c r="AN107" s="17"/>
      <c r="AO107" s="2"/>
      <c r="AP107" s="2"/>
      <c r="AQ107" s="2"/>
      <c r="AR107" s="2"/>
      <c r="AS107" s="16"/>
      <c r="AT107" s="2"/>
      <c r="AU107" s="2"/>
      <c r="AV107" s="18"/>
      <c r="AW107" s="18"/>
      <c r="AX107" s="18"/>
      <c r="AY107" s="18"/>
      <c r="AZ107" s="18"/>
      <c r="BA107" s="18"/>
      <c r="BB107" s="18"/>
      <c r="BC107" s="18"/>
      <c r="BD107" s="18"/>
    </row>
    <row r="108" spans="1:56" ht="14.25" customHeight="1">
      <c r="A108" s="33">
        <f t="shared" ref="A108:A113" ca="1" si="191">MAX(OFFSET(A108,-4,0,4,1))+1</f>
        <v>100</v>
      </c>
      <c r="B108" s="38" t="s">
        <v>289</v>
      </c>
      <c r="C108" s="38" t="s">
        <v>290</v>
      </c>
      <c r="H108" s="38">
        <v>8</v>
      </c>
      <c r="I108" s="38">
        <v>180</v>
      </c>
      <c r="J108" s="38">
        <v>23</v>
      </c>
      <c r="L108" s="38">
        <v>50</v>
      </c>
      <c r="M108" s="38">
        <v>255</v>
      </c>
      <c r="N108" s="38">
        <v>1</v>
      </c>
      <c r="O108" s="38">
        <v>100</v>
      </c>
      <c r="P108" s="38">
        <v>0</v>
      </c>
      <c r="Q108" s="38" t="s">
        <v>39</v>
      </c>
      <c r="R108" s="38" t="s">
        <v>291</v>
      </c>
      <c r="S108" s="38">
        <v>8</v>
      </c>
      <c r="T108" s="38">
        <f t="shared" ref="T108:T113" ca="1" si="192">MAX(OFFSET(T108,-4,0,4,1))+1</f>
        <v>100</v>
      </c>
      <c r="U108" s="15"/>
      <c r="V108" s="2" t="str">
        <f t="shared" ref="V108:V113" ca="1" si="193">CONCATENATE("#define EFF_",B108,REPT(" ",20-LEN(B108)),"(",REPT(" ",3-LEN(T108)),T108,"U)    // ",C108)</f>
        <v>#define EFF_LIGHTERS            (100U)    // Светлячки</v>
      </c>
      <c r="W108" s="2" t="str">
        <f t="shared" ref="W108:W113" ca="1" si="194">CONCATENATE("String(""",A108,". ",C108,",",L108,",",M108,",",N108,",",O108,",",P108,";"") +")</f>
        <v>String("100. Светлячки,50,255,1,100,0;") +</v>
      </c>
      <c r="X108" s="2" t="str">
        <f t="shared" ref="X108:X113" ca="1" si="195">CONCATENATE("String(""",A108,". ",D108,",",L108,",",M108,",",N108,",",O108,",",P108,";"") +")</f>
        <v>String("100. ,50,255,1,100,0;") +</v>
      </c>
      <c r="Y108" s="2" t="str">
        <f t="shared" ref="Y108:Y113" ca="1" si="196">CONCATENATE("String(""",A108,". ",E108,",",L108,",",M108,",",N108,",",O108,",",P108,";"") +")</f>
        <v>String("100. ,50,255,1,100,0;") +</v>
      </c>
      <c r="Z108" s="2" t="str">
        <f t="shared" ca="1" si="166"/>
        <v>100;8;180;23;Светлячки</v>
      </c>
      <c r="AA108" s="2" t="str">
        <f t="shared" ref="AA108:AA113" ca="1" si="197">CONCATENATE("        case EFF_",B108,":",REPT(" ",20-LEN(B108)),Q108," { effTimer = millis(); ",R108,REPT(" ",30-LEN(R108)),"Eff_Tick (); }","  break;  // (",REPT(" ",3-LEN(T108)),T108,"U) ",C108)</f>
        <v xml:space="preserve">        case EFF_LIGHTERS:            DYNAMIC_DELAY_TICK { effTimer = millis(); lightersRoutine();            Eff_Tick (); }  break;  // (100U) Светлячки</v>
      </c>
      <c r="AB108" s="2" t="str">
        <f t="shared" ref="AB108:AB113" ca="1" si="198">CONCATENATE("{""name"":""",A108,". ",C108,""",""spmin"":",L108,",""spmax"":",M108,",""scmin"":",N108,",""scmax"":",O108,",""type"":",P108,"},")</f>
        <v>{"name":"100. Светлячки","spmin":50,"spmax":255,"scmin":1,"scmax":100,"type":0},</v>
      </c>
      <c r="AC108" s="4" t="str">
        <f t="shared" ref="AC108:AC113" ca="1" si="199">CONCATENATE("""","e",T108,"""",":0,")</f>
        <v>"e100":0,</v>
      </c>
      <c r="AD108" s="4" t="str">
        <f t="shared" ref="AD108:AD113" ca="1" si="200">CONCATENATE("e",T108,"=[[e",T108,"]]&amp;")</f>
        <v>e100=[[e100]]&amp;</v>
      </c>
      <c r="AE108" s="4" t="str">
        <f t="shared" ref="AE108:AE113" ca="1" si="201">CONCATENATE("""","e",T108,"""",":",S108,",")</f>
        <v>"e100":8,</v>
      </c>
      <c r="AF108" s="2" t="str">
        <f t="shared" ca="1" si="171"/>
        <v>{"type":"checkbox","class":"checkbox-big","name":"e100","title":"100. Светлячки","style":"font-size:16px;display:block","state":"{{e100}}"},</v>
      </c>
      <c r="AG108" s="2" t="str">
        <f t="shared" ca="1" si="172"/>
        <v>{"type":"h4","title":"100. Светлячки","style":"font-size:14px;width:85%;float:left"},{"type":"input","title":"папка","name":"e100","state":"{{e100}}","pattern":"[0-9]{1,2}","style":"background: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8" s="2" t="str">
        <f t="shared" ref="AH108:AH113" ca="1" si="202">CONCATENATE("""",A108,"""",": """,A108,".",C108,""",")</f>
        <v>"100": "100.Светлячки",</v>
      </c>
      <c r="AI108" s="16"/>
      <c r="AJ108" s="2" t="str">
        <f t="shared" ref="AJ108:AJ113" ca="1" si="203">CONCATENATE(A108,". ",C108,",",L108,",",M108,",",N108,",",O108,",",P108,";")</f>
        <v>100. Светлячки,50,255,1,100,0;</v>
      </c>
      <c r="AK108" s="2" t="str">
        <f t="shared" ca="1" si="175"/>
        <v>100.Светлячки</v>
      </c>
      <c r="AL108" s="29" t="s">
        <v>434</v>
      </c>
      <c r="AM108" s="2"/>
      <c r="AN108" s="17"/>
      <c r="AO108" s="2"/>
      <c r="AP108" s="2"/>
      <c r="AQ108" s="2"/>
      <c r="AR108" s="2"/>
      <c r="AS108" s="16"/>
      <c r="AT108" s="2"/>
      <c r="AU108" s="2"/>
      <c r="AV108" s="18"/>
      <c r="AW108" s="18"/>
      <c r="AX108" s="18"/>
      <c r="AY108" s="18"/>
      <c r="AZ108" s="18"/>
      <c r="BA108" s="18"/>
      <c r="BB108" s="18"/>
      <c r="BC108" s="18"/>
      <c r="BD108" s="18"/>
    </row>
    <row r="109" spans="1:56" ht="14.25" customHeight="1">
      <c r="A109" s="33">
        <f t="shared" ca="1" si="191"/>
        <v>101</v>
      </c>
      <c r="B109" s="38" t="s">
        <v>292</v>
      </c>
      <c r="C109" s="38" t="s">
        <v>293</v>
      </c>
      <c r="H109" s="38">
        <v>8</v>
      </c>
      <c r="I109" s="38">
        <v>185</v>
      </c>
      <c r="J109" s="38">
        <v>93</v>
      </c>
      <c r="L109" s="38">
        <v>99</v>
      </c>
      <c r="M109" s="38">
        <v>255</v>
      </c>
      <c r="N109" s="38">
        <v>1</v>
      </c>
      <c r="O109" s="38">
        <v>100</v>
      </c>
      <c r="P109" s="38">
        <v>0</v>
      </c>
      <c r="Q109" s="38" t="s">
        <v>39</v>
      </c>
      <c r="R109" s="38" t="s">
        <v>294</v>
      </c>
      <c r="S109" s="38">
        <v>8</v>
      </c>
      <c r="T109" s="38">
        <f t="shared" ca="1" si="192"/>
        <v>101</v>
      </c>
      <c r="U109" s="15"/>
      <c r="V109" s="2" t="str">
        <f t="shared" ca="1" si="193"/>
        <v>#define EFF_LIGHTER_TRACES      (101U)    // Светлячки со шлейфом</v>
      </c>
      <c r="W109" s="2" t="str">
        <f t="shared" ca="1" si="194"/>
        <v>String("101. Светлячки со шлейфом,99,255,1,100,0;") +</v>
      </c>
      <c r="X109" s="2" t="str">
        <f t="shared" ca="1" si="195"/>
        <v>String("101. ,99,255,1,100,0;") +</v>
      </c>
      <c r="Y109" s="2" t="str">
        <f t="shared" ca="1" si="196"/>
        <v>String("101. ,99,255,1,100,0;") +</v>
      </c>
      <c r="Z109" s="2" t="str">
        <f t="shared" ca="1" si="166"/>
        <v>101;8;185;93;Светлячки со шлейфом</v>
      </c>
      <c r="AA109" s="2" t="str">
        <f t="shared" ca="1" si="197"/>
        <v xml:space="preserve">        case EFF_LIGHTER_TRACES:      DYNAMIC_DELAY_TICK { effTimer = millis(); ballsRoutine();               Eff_Tick (); }  break;  // (101U) Светлячки со шлейфом</v>
      </c>
      <c r="AB109" s="2" t="str">
        <f t="shared" ca="1" si="198"/>
        <v>{"name":"101. Светлячки со шлейфом","spmin":99,"spmax":255,"scmin":1,"scmax":100,"type":0},</v>
      </c>
      <c r="AC109" s="4" t="str">
        <f t="shared" ca="1" si="199"/>
        <v>"e101":0,</v>
      </c>
      <c r="AD109" s="4" t="str">
        <f t="shared" ca="1" si="200"/>
        <v>e101=[[e101]]&amp;</v>
      </c>
      <c r="AE109" s="4" t="str">
        <f t="shared" ca="1" si="201"/>
        <v>"e101":8,</v>
      </c>
      <c r="AF109" s="2" t="str">
        <f t="shared" ca="1" si="171"/>
        <v>{"type":"checkbox","class":"checkbox-big","name":"e101","title":"101. Светлячки со шлейфом","style":"font-size:16px;display:block","state":"{{e101}}"},</v>
      </c>
      <c r="AG109" s="2" t="str">
        <f t="shared" ca="1" si="172"/>
        <v>{"type":"h4","title":"101. Светлячки со шлейфом","style":"font-size:14px;width:85%;float:left"},{"type":"input","title":"папка","name":"e101","state":"{{e101}}","pattern":"[0-9]{1,2}","style":"background: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09" s="2" t="str">
        <f t="shared" ca="1" si="202"/>
        <v>"101": "101.Светлячки со шлейфом",</v>
      </c>
      <c r="AI109" s="16"/>
      <c r="AJ109" s="2" t="str">
        <f t="shared" ca="1" si="203"/>
        <v>101. Светлячки со шлейфом,99,255,1,100,0;</v>
      </c>
      <c r="AK109" s="2" t="str">
        <f t="shared" ca="1" si="175"/>
        <v>101.Светлячки со шлейфом</v>
      </c>
      <c r="AL109" s="29" t="s">
        <v>434</v>
      </c>
      <c r="AM109" s="2"/>
      <c r="AN109" s="17"/>
      <c r="AO109" s="2"/>
      <c r="AP109" s="2"/>
      <c r="AQ109" s="2"/>
      <c r="AR109" s="2"/>
      <c r="AS109" s="16"/>
      <c r="AT109" s="2"/>
      <c r="AU109" s="2"/>
      <c r="AV109" s="18"/>
      <c r="AW109" s="18"/>
      <c r="AX109" s="18"/>
      <c r="AY109" s="18"/>
      <c r="AZ109" s="18"/>
      <c r="BA109" s="18"/>
      <c r="BB109" s="18"/>
      <c r="BC109" s="18"/>
      <c r="BD109" s="18"/>
    </row>
    <row r="110" spans="1:56" ht="14.25" customHeight="1">
      <c r="A110" s="33">
        <f t="shared" ca="1" si="191"/>
        <v>102</v>
      </c>
      <c r="B110" s="38" t="s">
        <v>295</v>
      </c>
      <c r="C110" s="38" t="s">
        <v>296</v>
      </c>
      <c r="H110" s="38">
        <v>10</v>
      </c>
      <c r="I110" s="38">
        <v>220</v>
      </c>
      <c r="J110" s="38">
        <v>8</v>
      </c>
      <c r="L110" s="38">
        <v>170</v>
      </c>
      <c r="M110" s="38">
        <v>255</v>
      </c>
      <c r="N110" s="38">
        <v>1</v>
      </c>
      <c r="O110" s="38">
        <v>100</v>
      </c>
      <c r="P110" s="38">
        <v>1</v>
      </c>
      <c r="Q110" s="38" t="s">
        <v>39</v>
      </c>
      <c r="R110" s="38" t="s">
        <v>297</v>
      </c>
      <c r="S110" s="38">
        <v>2</v>
      </c>
      <c r="T110" s="38">
        <f t="shared" ca="1" si="192"/>
        <v>102</v>
      </c>
      <c r="U110" s="15"/>
      <c r="V110" s="2" t="str">
        <f t="shared" ca="1" si="193"/>
        <v>#define EFF_FEATHER_CANDLE      (102U)    // Свеча</v>
      </c>
      <c r="W110" s="2" t="str">
        <f t="shared" ca="1" si="194"/>
        <v>String("102. Свеча,170,255,1,100,1;") +</v>
      </c>
      <c r="X110" s="2" t="str">
        <f t="shared" ca="1" si="195"/>
        <v>String("102. ,170,255,1,100,1;") +</v>
      </c>
      <c r="Y110" s="2" t="str">
        <f t="shared" ca="1" si="196"/>
        <v>String("102. ,170,255,1,100,1;") +</v>
      </c>
      <c r="Z110" s="2" t="str">
        <f t="shared" ca="1" si="166"/>
        <v>102;10;220;8;Свеча</v>
      </c>
      <c r="AA110" s="2" t="str">
        <f t="shared" ca="1" si="197"/>
        <v xml:space="preserve">        case EFF_FEATHER_CANDLE:      DYNAMIC_DELAY_TICK { effTimer = millis(); FeatherCandleRoutine();       Eff_Tick (); }  break;  // (102U) Свеча</v>
      </c>
      <c r="AB110" s="2" t="str">
        <f t="shared" ca="1" si="198"/>
        <v>{"name":"102. Свеча","spmin":170,"spmax":255,"scmin":1,"scmax":100,"type":1},</v>
      </c>
      <c r="AC110" s="4" t="str">
        <f t="shared" ca="1" si="199"/>
        <v>"e102":0,</v>
      </c>
      <c r="AD110" s="4" t="str">
        <f t="shared" ca="1" si="200"/>
        <v>e102=[[e102]]&amp;</v>
      </c>
      <c r="AE110" s="4" t="str">
        <f t="shared" ca="1" si="201"/>
        <v>"e102":2,</v>
      </c>
      <c r="AF110" s="2" t="str">
        <f t="shared" ca="1" si="171"/>
        <v>{"type":"checkbox","class":"checkbox-big","name":"e102","title":"102. Свеча","style":"font-size:16px;display:block","state":"{{e102}}"},</v>
      </c>
      <c r="AG110" s="2" t="str">
        <f t="shared" ca="1" si="172"/>
        <v>{"type":"h4","title":"102. Свеча","style":"font-size:14px;width:85%;float:left"},{"type":"input","title":"папка","name":"e102","state":"{{e102}}","pattern":"[0-9]{1,2}","style":"background: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0" s="2" t="str">
        <f t="shared" ca="1" si="202"/>
        <v>"102": "102.Свеча",</v>
      </c>
      <c r="AI110" s="16"/>
      <c r="AJ110" s="2" t="str">
        <f t="shared" ca="1" si="203"/>
        <v>102. Свеча,170,255,1,100,1;</v>
      </c>
      <c r="AK110" s="2" t="str">
        <f t="shared" ca="1" si="175"/>
        <v>102.Свеча</v>
      </c>
      <c r="AL110" s="29" t="s">
        <v>434</v>
      </c>
      <c r="AM110" s="2"/>
      <c r="AN110" s="17"/>
      <c r="AO110" s="2"/>
      <c r="AP110" s="2"/>
      <c r="AQ110" s="2"/>
      <c r="AR110" s="2"/>
      <c r="AS110" s="16"/>
      <c r="AT110" s="2"/>
      <c r="AU110" s="2"/>
      <c r="AV110" s="18"/>
      <c r="AW110" s="18"/>
      <c r="AX110" s="18"/>
      <c r="AY110" s="18"/>
      <c r="AZ110" s="18"/>
      <c r="BA110" s="18"/>
      <c r="BB110" s="18"/>
      <c r="BC110" s="18"/>
      <c r="BD110" s="18"/>
    </row>
    <row r="111" spans="1:56" ht="14.25" customHeight="1">
      <c r="A111" s="33">
        <f t="shared" ca="1" si="191"/>
        <v>103</v>
      </c>
      <c r="B111" s="38" t="s">
        <v>298</v>
      </c>
      <c r="C111" s="38" t="s">
        <v>299</v>
      </c>
      <c r="H111" s="38">
        <v>8</v>
      </c>
      <c r="I111" s="38">
        <v>160</v>
      </c>
      <c r="J111" s="38">
        <v>64</v>
      </c>
      <c r="L111" s="38">
        <v>1</v>
      </c>
      <c r="M111" s="38">
        <v>255</v>
      </c>
      <c r="N111" s="38">
        <v>1</v>
      </c>
      <c r="O111" s="38">
        <v>100</v>
      </c>
      <c r="P111" s="38">
        <v>1</v>
      </c>
      <c r="Q111" s="38" t="s">
        <v>35</v>
      </c>
      <c r="R111" s="38" t="s">
        <v>300</v>
      </c>
      <c r="S111" s="38">
        <v>2</v>
      </c>
      <c r="T111" s="38">
        <f t="shared" ca="1" si="192"/>
        <v>103</v>
      </c>
      <c r="U111" s="15"/>
      <c r="V111" s="2" t="str">
        <f t="shared" ca="1" si="193"/>
        <v>#define EFF_AURORA              (103U)    // Северное сияние</v>
      </c>
      <c r="W111" s="2" t="str">
        <f t="shared" ca="1" si="194"/>
        <v>String("103. Северное сияние,1,255,1,100,1;") +</v>
      </c>
      <c r="X111" s="2" t="str">
        <f t="shared" ca="1" si="195"/>
        <v>String("103. ,1,255,1,100,1;") +</v>
      </c>
      <c r="Y111" s="2" t="str">
        <f t="shared" ca="1" si="196"/>
        <v>String("103. ,1,255,1,100,1;") +</v>
      </c>
      <c r="Z111" s="2" t="str">
        <f t="shared" ca="1" si="166"/>
        <v>103;8;160;64;Северное сияние</v>
      </c>
      <c r="AA111" s="2" t="str">
        <f t="shared" ca="1" si="197"/>
        <v xml:space="preserve">        case EFF_AURORA:              HIGH_DELAY_TICK { effTimer = millis(); polarRoutine();               Eff_Tick (); }  break;  // (103U) Северное сияние</v>
      </c>
      <c r="AB111" s="2" t="str">
        <f t="shared" ca="1" si="198"/>
        <v>{"name":"103. Северное сияние","spmin":1,"spmax":255,"scmin":1,"scmax":100,"type":1},</v>
      </c>
      <c r="AC111" s="4" t="str">
        <f t="shared" ca="1" si="199"/>
        <v>"e103":0,</v>
      </c>
      <c r="AD111" s="4" t="str">
        <f t="shared" ca="1" si="200"/>
        <v>e103=[[e103]]&amp;</v>
      </c>
      <c r="AE111" s="4" t="str">
        <f t="shared" ca="1" si="201"/>
        <v>"e103":2,</v>
      </c>
      <c r="AF111" s="2" t="str">
        <f t="shared" ca="1" si="171"/>
        <v>{"type":"checkbox","class":"checkbox-big","name":"e103","title":"103. Северное сияние","style":"font-size:16px;display:block","state":"{{e103}}"},</v>
      </c>
      <c r="AG111" s="2" t="str">
        <f t="shared" ca="1" si="172"/>
        <v>{"type":"h4","title":"103. Северное сияние","style":"font-size:14px;width:85%;float:left"},{"type":"input","title":"папка","name":"e103","state":"{{e103}}","pattern":"[0-9]{1,2}","style":"background: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1" s="2" t="str">
        <f t="shared" ca="1" si="202"/>
        <v>"103": "103.Северное сияние",</v>
      </c>
      <c r="AI111" s="16"/>
      <c r="AJ111" s="2" t="str">
        <f t="shared" ca="1" si="203"/>
        <v>103. Северное сияние,1,255,1,100,1;</v>
      </c>
      <c r="AK111" s="2" t="str">
        <f t="shared" ca="1" si="175"/>
        <v>103.Северное сияние</v>
      </c>
      <c r="AL111" s="29" t="s">
        <v>434</v>
      </c>
      <c r="AM111" s="2"/>
      <c r="AN111" s="17"/>
      <c r="AO111" s="2"/>
      <c r="AP111" s="2"/>
      <c r="AQ111" s="2"/>
      <c r="AR111" s="2"/>
      <c r="AS111" s="16"/>
      <c r="AT111" s="2"/>
      <c r="AU111" s="2"/>
      <c r="AV111" s="18"/>
      <c r="AW111" s="18"/>
      <c r="AX111" s="18"/>
      <c r="AY111" s="18"/>
      <c r="AZ111" s="18"/>
      <c r="BA111" s="18"/>
      <c r="BB111" s="18"/>
      <c r="BC111" s="18"/>
      <c r="BD111" s="18"/>
    </row>
    <row r="112" spans="1:56">
      <c r="A112" s="33">
        <f t="shared" ca="1" si="191"/>
        <v>104</v>
      </c>
      <c r="B112" s="38" t="s">
        <v>407</v>
      </c>
      <c r="C112" s="52" t="s">
        <v>408</v>
      </c>
      <c r="H112" s="38">
        <v>8</v>
      </c>
      <c r="I112" s="38">
        <v>75</v>
      </c>
      <c r="J112" s="38">
        <v>50</v>
      </c>
      <c r="L112" s="38">
        <v>1</v>
      </c>
      <c r="M112" s="38">
        <v>255</v>
      </c>
      <c r="N112" s="38">
        <v>1</v>
      </c>
      <c r="O112" s="38">
        <v>100</v>
      </c>
      <c r="P112" s="38">
        <v>0</v>
      </c>
      <c r="Q112" s="38" t="s">
        <v>35</v>
      </c>
      <c r="R112" s="53" t="s">
        <v>409</v>
      </c>
      <c r="S112" s="38">
        <v>2</v>
      </c>
      <c r="T112" s="38">
        <f t="shared" ca="1" si="192"/>
        <v>104</v>
      </c>
      <c r="V112" s="2" t="str">
        <f t="shared" ca="1" si="193"/>
        <v>#define EFF_SERPENTINE          (104U)    // Серпантин</v>
      </c>
      <c r="W112" s="2" t="str">
        <f t="shared" ca="1" si="194"/>
        <v>String("104. Серпантин,1,255,1,100,0;") +</v>
      </c>
      <c r="X112" s="2" t="str">
        <f t="shared" ca="1" si="195"/>
        <v>String("104. ,1,255,1,100,0;") +</v>
      </c>
      <c r="Y112" s="2" t="str">
        <f t="shared" ca="1" si="196"/>
        <v>String("104. ,1,255,1,100,0;") +</v>
      </c>
      <c r="Z112" s="2" t="str">
        <f t="shared" ca="1" si="166"/>
        <v>104;8;75;50;Серпантин</v>
      </c>
      <c r="AA112" s="2" t="str">
        <f t="shared" ca="1" si="197"/>
        <v xml:space="preserve">        case EFF_SERPENTINE:          HIGH_DELAY_TICK { effTimer = millis(); Serpentine();                 Eff_Tick (); }  break;  // (104U) Серпантин</v>
      </c>
      <c r="AB112" s="2" t="str">
        <f t="shared" ca="1" si="198"/>
        <v>{"name":"104. Серпантин","spmin":1,"spmax":255,"scmin":1,"scmax":100,"type":0},</v>
      </c>
      <c r="AC112" s="4" t="str">
        <f t="shared" ca="1" si="199"/>
        <v>"e104":0,</v>
      </c>
      <c r="AD112" s="4" t="str">
        <f t="shared" ca="1" si="200"/>
        <v>e104=[[e104]]&amp;</v>
      </c>
      <c r="AE112" s="4" t="str">
        <f t="shared" ca="1" si="201"/>
        <v>"e104":2,</v>
      </c>
      <c r="AF112" s="2" t="str">
        <f t="shared" ca="1" si="171"/>
        <v>{"type":"checkbox","class":"checkbox-big","name":"e104","title":"104. Серпантин","style":"font-size:16px;display:block","state":"{{e104}}"},</v>
      </c>
      <c r="AG112" s="2" t="str">
        <f t="shared" ca="1" si="172"/>
        <v>{"type":"h4","title":"104. Серпантин","style":"font-size:14px;width:85%;float:left"},{"type":"input","title":"папка","name":"e104","state":"{{e104}}","pattern":"[0-9]{1,2}","style":"background: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2" s="2" t="str">
        <f t="shared" ca="1" si="202"/>
        <v>"104": "104.Серпантин",</v>
      </c>
      <c r="AI112" s="16"/>
      <c r="AJ112" s="2" t="str">
        <f t="shared" ca="1" si="203"/>
        <v>104. Серпантин,1,255,1,100,0;</v>
      </c>
      <c r="AK112" s="2" t="str">
        <f t="shared" ca="1" si="175"/>
        <v>104.Серпантин</v>
      </c>
      <c r="AL112" s="29" t="s">
        <v>434</v>
      </c>
    </row>
    <row r="113" spans="1:56">
      <c r="A113" s="33">
        <f t="shared" ca="1" si="191"/>
        <v>105</v>
      </c>
      <c r="B113" s="38" t="s">
        <v>411</v>
      </c>
      <c r="C113" s="38" t="s">
        <v>410</v>
      </c>
      <c r="H113" s="38">
        <v>25</v>
      </c>
      <c r="I113" s="38">
        <v>230</v>
      </c>
      <c r="J113" s="38">
        <v>40</v>
      </c>
      <c r="L113" s="38">
        <v>1</v>
      </c>
      <c r="M113" s="38">
        <v>255</v>
      </c>
      <c r="N113" s="38">
        <v>1</v>
      </c>
      <c r="O113" s="38">
        <v>100</v>
      </c>
      <c r="P113" s="38">
        <v>1</v>
      </c>
      <c r="Q113" s="38" t="s">
        <v>39</v>
      </c>
      <c r="R113" s="53" t="s">
        <v>412</v>
      </c>
      <c r="S113" s="38">
        <v>2</v>
      </c>
      <c r="T113" s="38">
        <f t="shared" ca="1" si="192"/>
        <v>105</v>
      </c>
      <c r="V113" s="2" t="str">
        <f t="shared" ca="1" si="193"/>
        <v>#define EFF_SCANNER             (105U)    // Сканер</v>
      </c>
      <c r="W113" s="2" t="str">
        <f t="shared" ca="1" si="194"/>
        <v>String("105. Сканер,1,255,1,100,1;") +</v>
      </c>
      <c r="X113" s="2" t="str">
        <f t="shared" ca="1" si="195"/>
        <v>String("105. ,1,255,1,100,1;") +</v>
      </c>
      <c r="Y113" s="2" t="str">
        <f t="shared" ca="1" si="196"/>
        <v>String("105. ,1,255,1,100,1;") +</v>
      </c>
      <c r="Z113" s="2" t="str">
        <f t="shared" ca="1" si="166"/>
        <v>105;25;230;40;Сканер</v>
      </c>
      <c r="AA113" s="2" t="str">
        <f t="shared" ca="1" si="197"/>
        <v xml:space="preserve">        case EFF_SCANNER:             DYNAMIC_DELAY_TICK { effTimer = millis(); Scanner();                    Eff_Tick (); }  break;  // (105U) Сканер</v>
      </c>
      <c r="AB113" s="2" t="str">
        <f t="shared" ca="1" si="198"/>
        <v>{"name":"105. Сканер","spmin":1,"spmax":255,"scmin":1,"scmax":100,"type":1},</v>
      </c>
      <c r="AC113" s="4" t="str">
        <f t="shared" ca="1" si="199"/>
        <v>"e105":0,</v>
      </c>
      <c r="AD113" s="4" t="str">
        <f t="shared" ca="1" si="200"/>
        <v>e105=[[e105]]&amp;</v>
      </c>
      <c r="AE113" s="4" t="str">
        <f t="shared" ca="1" si="201"/>
        <v>"e105":2,</v>
      </c>
      <c r="AF113" s="2" t="str">
        <f t="shared" ca="1" si="171"/>
        <v>{"type":"checkbox","class":"checkbox-big","name":"e105","title":"105. Сканер","style":"font-size:16px;display:block","state":"{{e105}}"},</v>
      </c>
      <c r="AG113" s="2" t="str">
        <f t="shared" ca="1" si="172"/>
        <v>{"type":"h4","title":"105. Сканер","style":"font-size:14px;width:85%;float:left"},{"type":"input","title":"папка","name":"e105","state":"{{e105}}","pattern":"[0-9]{1,2}","style":"background: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3" s="2" t="str">
        <f t="shared" ca="1" si="202"/>
        <v>"105": "105.Сканер",</v>
      </c>
      <c r="AI113" s="16"/>
      <c r="AJ113" s="2" t="str">
        <f t="shared" ca="1" si="203"/>
        <v>105. Сканер,1,255,1,100,1;</v>
      </c>
      <c r="AK113" s="2" t="str">
        <f t="shared" ca="1" si="175"/>
        <v>105.Сканер</v>
      </c>
      <c r="AL113" s="29" t="s">
        <v>434</v>
      </c>
    </row>
    <row r="114" spans="1:56" ht="14.25" customHeight="1">
      <c r="A114" s="33">
        <f t="shared" ref="A114:A125" ca="1" si="204">MAX(OFFSET(A114,-4,0,4,1))+1</f>
        <v>106</v>
      </c>
      <c r="B114" s="38" t="s">
        <v>301</v>
      </c>
      <c r="C114" s="38" t="s">
        <v>302</v>
      </c>
      <c r="H114" s="38">
        <v>10</v>
      </c>
      <c r="I114" s="38">
        <v>127</v>
      </c>
      <c r="J114" s="38">
        <v>75</v>
      </c>
      <c r="L114" s="38">
        <v>1</v>
      </c>
      <c r="M114" s="38">
        <v>255</v>
      </c>
      <c r="N114" s="38">
        <v>1</v>
      </c>
      <c r="O114" s="38">
        <v>100</v>
      </c>
      <c r="P114" s="38">
        <v>0</v>
      </c>
      <c r="Q114" s="38" t="s">
        <v>35</v>
      </c>
      <c r="R114" s="38" t="s">
        <v>303</v>
      </c>
      <c r="S114" s="38">
        <v>2</v>
      </c>
      <c r="T114" s="38">
        <f t="shared" ref="T114:T131" ca="1" si="205">MAX(OFFSET(T114,-4,0,4,1))+1</f>
        <v>106</v>
      </c>
      <c r="U114" s="15"/>
      <c r="V114" s="2" t="str">
        <f t="shared" ref="V114:V131" ca="1" si="206">CONCATENATE("#define EFF_",B114,REPT(" ",20-LEN(B114)),"(",REPT(" ",3-LEN(T114)),T114,"U)    // ",C114)</f>
        <v>#define EFF_SINUSOID3           (106U)    // Синусоид</v>
      </c>
      <c r="W114" s="2" t="str">
        <f t="shared" ref="W114:W125" ca="1" si="207">CONCATENATE("String(""",A114,". ",C114,",",L114,",",M114,",",N114,",",O114,",",P114,";"") +")</f>
        <v>String("106. Синусоид,1,255,1,100,0;") +</v>
      </c>
      <c r="X114" s="2" t="str">
        <f t="shared" ref="X114:X125" ca="1" si="208">CONCATENATE("String(""",A114,". ",D114,",",L114,",",M114,",",N114,",",O114,",",P114,";"") +")</f>
        <v>String("106. ,1,255,1,100,0;") +</v>
      </c>
      <c r="Y114" s="2" t="str">
        <f t="shared" ref="Y114:Y125" ca="1" si="209">CONCATENATE("String(""",A114,". ",E114,",",L114,",",M114,",",N114,",",O114,",",P114,";"") +")</f>
        <v>String("106. ,1,255,1,100,0;") +</v>
      </c>
      <c r="Z114" s="2" t="str">
        <f t="shared" ca="1" si="166"/>
        <v>106;10;127;75;Синусоид</v>
      </c>
      <c r="AA114" s="2" t="str">
        <f t="shared" ref="AA114:AA130" ca="1" si="210">CONCATENATE("        case EFF_",B114,":",REPT(" ",20-LEN(B114)),Q114," { effTimer = millis(); ",R114,REPT(" ",30-LEN(R114)),"Eff_Tick (); }","  break;  // (",REPT(" ",3-LEN(T114)),T114,"U) ",C114)</f>
        <v xml:space="preserve">        case EFF_SINUSOID3:           HIGH_DELAY_TICK { effTimer = millis(); Sinusoid3Routine();           Eff_Tick (); }  break;  // (106U) Синусоид</v>
      </c>
      <c r="AB114" s="2" t="str">
        <f ca="1">CONCATENATE("{""name"":""",A114,". ",C114,""",""spmin"":",L114,",""spmax"":",M114,",""scmin"":",N114,",""scmax"":",O114,",""type"":",P114,"},")</f>
        <v>{"name":"106. Синусоид","spmin":1,"spmax":255,"scmin":1,"scmax":100,"type":0},</v>
      </c>
      <c r="AC114" s="4" t="str">
        <f t="shared" ref="AC114:AC131" ca="1" si="211">CONCATENATE("""","e",T114,"""",":0,")</f>
        <v>"e106":0,</v>
      </c>
      <c r="AD114" s="4" t="str">
        <f t="shared" ref="AD114:AD130" ca="1" si="212">CONCATENATE("e",T114,"=[[e",T114,"]]&amp;")</f>
        <v>e106=[[e106]]&amp;</v>
      </c>
      <c r="AE114" s="4" t="str">
        <f t="shared" ref="AE114:AE131" ca="1" si="213">CONCATENATE("""","e",T114,"""",":",S114,",")</f>
        <v>"e106":2,</v>
      </c>
      <c r="AF114" s="2" t="str">
        <f t="shared" ca="1" si="171"/>
        <v>{"type":"checkbox","class":"checkbox-big","name":"e106","title":"106. Синусоид","style":"font-size:16px;display:block","state":"{{e106}}"},</v>
      </c>
      <c r="AG114" s="2" t="str">
        <f t="shared" ca="1" si="172"/>
        <v>{"type":"h4","title":"106. Синусоид","style":"font-size:14px;width:85%;float:left"},{"type":"input","title":"папка","name":"e106","state":"{{e106}}","pattern":"[0-9]{1,2}","style":"background: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4" s="2" t="str">
        <f t="shared" ref="AH114:AH131" ca="1" si="214">CONCATENATE("""",A114,"""",": """,A114,".",C114,""",")</f>
        <v>"106": "106.Синусоид",</v>
      </c>
      <c r="AI114" s="16"/>
      <c r="AJ114" s="2" t="str">
        <f t="shared" ref="AJ114:AJ125" ca="1" si="215">CONCATENATE(A114,". ",C114,",",L114,",",M114,",",N114,",",O114,",",P114,";")</f>
        <v>106. Синусоид,1,255,1,100,0;</v>
      </c>
      <c r="AK114" s="2" t="str">
        <f t="shared" ca="1" si="175"/>
        <v>106.Синусоид</v>
      </c>
      <c r="AL114" s="29" t="s">
        <v>434</v>
      </c>
      <c r="AM114" s="2"/>
      <c r="AN114" s="17"/>
      <c r="AO114" s="2"/>
      <c r="AP114" s="2"/>
      <c r="AQ114" s="2"/>
      <c r="AR114" s="2"/>
      <c r="AS114" s="16"/>
      <c r="AT114" s="2"/>
      <c r="AU114" s="2"/>
      <c r="AV114" s="18"/>
      <c r="AW114" s="18"/>
      <c r="AX114" s="18"/>
      <c r="AY114" s="18"/>
      <c r="AZ114" s="18"/>
      <c r="BA114" s="18"/>
      <c r="BB114" s="18"/>
      <c r="BC114" s="18"/>
      <c r="BD114" s="18"/>
    </row>
    <row r="115" spans="1:56" ht="14.25" customHeight="1">
      <c r="A115" s="33">
        <f t="shared" ca="1" si="204"/>
        <v>107</v>
      </c>
      <c r="B115" s="38" t="s">
        <v>304</v>
      </c>
      <c r="C115" s="38" t="s">
        <v>305</v>
      </c>
      <c r="H115" s="38">
        <v>12</v>
      </c>
      <c r="I115" s="38">
        <v>240</v>
      </c>
      <c r="J115" s="38">
        <v>1</v>
      </c>
      <c r="L115" s="38">
        <v>1</v>
      </c>
      <c r="M115" s="38">
        <v>255</v>
      </c>
      <c r="N115" s="38">
        <v>1</v>
      </c>
      <c r="O115" s="38">
        <v>255</v>
      </c>
      <c r="P115" s="38">
        <v>0</v>
      </c>
      <c r="Q115" s="38" t="s">
        <v>35</v>
      </c>
      <c r="R115" s="38" t="s">
        <v>306</v>
      </c>
      <c r="S115" s="38">
        <v>11</v>
      </c>
      <c r="T115" s="38">
        <f t="shared" ca="1" si="205"/>
        <v>107</v>
      </c>
      <c r="U115" s="15"/>
      <c r="V115" s="2" t="str">
        <f t="shared" ca="1" si="206"/>
        <v>#define EFF_COLORS              (107U)    // Смена цвета</v>
      </c>
      <c r="W115" s="2" t="str">
        <f t="shared" ca="1" si="207"/>
        <v>String("107. Смена цвета,1,255,1,255,0;") +</v>
      </c>
      <c r="X115" s="2" t="str">
        <f t="shared" ca="1" si="208"/>
        <v>String("107. ,1,255,1,255,0;") +</v>
      </c>
      <c r="Y115" s="2" t="str">
        <f t="shared" ca="1" si="209"/>
        <v>String("107. ,1,255,1,255,0;") +</v>
      </c>
      <c r="Z115" s="2" t="str">
        <f t="shared" ca="1" si="166"/>
        <v>107;12;240;1;Смена цвета</v>
      </c>
      <c r="AA115" s="2" t="str">
        <f t="shared" ca="1" si="210"/>
        <v xml:space="preserve">        case EFF_COLORS:              HIGH_DELAY_TICK { effTimer = millis(); colorsRoutine2();             Eff_Tick (); }  break;  // (107U) Смена цвета</v>
      </c>
      <c r="AB115" s="2" t="str">
        <f ca="1">CONCATENATE("{""name"":""",A115,". ",C115,""",""spmin"":",L115,",""spmax"":",M115,",""scmin"":",N115,",""scmax"":",O115,",""type"":",P115,"},")</f>
        <v>{"name":"107. Смена цвета","spmin":1,"spmax":255,"scmin":1,"scmax":255,"type":0},</v>
      </c>
      <c r="AC115" s="4" t="str">
        <f t="shared" ca="1" si="211"/>
        <v>"e107":0,</v>
      </c>
      <c r="AD115" s="4" t="str">
        <f t="shared" ca="1" si="212"/>
        <v>e107=[[e107]]&amp;</v>
      </c>
      <c r="AE115" s="4" t="str">
        <f t="shared" ca="1" si="213"/>
        <v>"e107":11,</v>
      </c>
      <c r="AF115" s="2" t="str">
        <f t="shared" ca="1" si="171"/>
        <v>{"type":"checkbox","class":"checkbox-big","name":"e107","title":"107. Смена цвета","style":"font-size:16px;display:block","state":"{{e107}}"},</v>
      </c>
      <c r="AG115" s="2" t="str">
        <f t="shared" ca="1" si="172"/>
        <v>{"type":"h4","title":"107. Смена цвета","style":"font-size:14px;width:85%;float:left"},{"type":"input","title":"папка","name":"e107","state":"{{e107}}","pattern":"[0-9]{1,2}","style":"background: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5" s="2" t="str">
        <f t="shared" ca="1" si="214"/>
        <v>"107": "107.Смена цвета",</v>
      </c>
      <c r="AI115" s="16"/>
      <c r="AJ115" s="2" t="str">
        <f t="shared" ca="1" si="215"/>
        <v>107. Смена цвета,1,255,1,255,0;</v>
      </c>
      <c r="AK115" s="2" t="str">
        <f t="shared" ca="1" si="175"/>
        <v>107.Смена цвета</v>
      </c>
      <c r="AL115" s="29" t="s">
        <v>434</v>
      </c>
      <c r="AM115" s="2"/>
      <c r="AN115" s="17"/>
      <c r="AO115" s="2"/>
      <c r="AP115" s="2"/>
      <c r="AQ115" s="2"/>
      <c r="AR115" s="2"/>
      <c r="AS115" s="16"/>
      <c r="AT115" s="2"/>
      <c r="AU115" s="2"/>
      <c r="AV115" s="18"/>
      <c r="AW115" s="18"/>
      <c r="AX115" s="18"/>
      <c r="AY115" s="18"/>
      <c r="AZ115" s="18"/>
      <c r="BA115" s="18"/>
      <c r="BB115" s="18"/>
      <c r="BC115" s="18"/>
      <c r="BD115" s="18"/>
    </row>
    <row r="116" spans="1:56" ht="14.25" customHeight="1">
      <c r="A116" s="33">
        <f t="shared" ca="1" si="204"/>
        <v>108</v>
      </c>
      <c r="B116" s="38" t="s">
        <v>307</v>
      </c>
      <c r="C116" s="38" t="s">
        <v>308</v>
      </c>
      <c r="H116" s="38">
        <v>5</v>
      </c>
      <c r="I116" s="38">
        <v>205</v>
      </c>
      <c r="J116" s="38">
        <v>90</v>
      </c>
      <c r="L116" s="38">
        <v>99</v>
      </c>
      <c r="M116" s="38">
        <v>255</v>
      </c>
      <c r="N116" s="38">
        <v>1</v>
      </c>
      <c r="O116" s="38">
        <v>100</v>
      </c>
      <c r="P116" s="38">
        <v>0</v>
      </c>
      <c r="Q116" s="38" t="s">
        <v>39</v>
      </c>
      <c r="R116" s="38" t="s">
        <v>387</v>
      </c>
      <c r="S116" s="38">
        <v>6</v>
      </c>
      <c r="T116" s="38">
        <f t="shared" ca="1" si="205"/>
        <v>108</v>
      </c>
      <c r="U116" s="15"/>
      <c r="V116" s="2" t="str">
        <f t="shared" ca="1" si="206"/>
        <v>#define EFF_SNOW                (108U)    // Снегопад</v>
      </c>
      <c r="W116" s="2" t="str">
        <f t="shared" ca="1" si="207"/>
        <v>String("108. Снегопад,99,255,1,100,0;") +</v>
      </c>
      <c r="X116" s="2" t="str">
        <f t="shared" ca="1" si="208"/>
        <v>String("108. ,99,255,1,100,0;") +</v>
      </c>
      <c r="Y116" s="2" t="str">
        <f t="shared" ca="1" si="209"/>
        <v>String("108. ,99,255,1,100,0;") +</v>
      </c>
      <c r="Z116" s="2" t="str">
        <f t="shared" ca="1" si="166"/>
        <v>108;5;205;90;Снегопад</v>
      </c>
      <c r="AA116" s="2" t="str">
        <f t="shared" ca="1" si="210"/>
        <v xml:space="preserve">        case EFF_SNOW:                DYNAMIC_DELAY_TICK { effTimer = millis(); Snowfall();                   Eff_Tick (); }  break;  // (108U) Снегопад</v>
      </c>
      <c r="AB116" s="2" t="str">
        <f ca="1">CONCATENATE("{""name"":""",A116,". ",C116,""",""spmin"":",L116,",""spmax"":",M116,",""scmin"":",N116,",""scmax"":",O116,",""type"":",P116,"},")</f>
        <v>{"name":"108. Снегопад","spmin":99,"spmax":255,"scmin":1,"scmax":100,"type":0},</v>
      </c>
      <c r="AC116" s="4" t="str">
        <f t="shared" ca="1" si="211"/>
        <v>"e108":0,</v>
      </c>
      <c r="AD116" s="4" t="str">
        <f t="shared" ca="1" si="212"/>
        <v>e108=[[e108]]&amp;</v>
      </c>
      <c r="AE116" s="4" t="str">
        <f t="shared" ca="1" si="213"/>
        <v>"e108":6,</v>
      </c>
      <c r="AF116" s="2" t="str">
        <f t="shared" ca="1" si="171"/>
        <v>{"type":"checkbox","class":"checkbox-big","name":"e108","title":"108. Снегопад","style":"font-size:16px;display:block","state":"{{e108}}"},</v>
      </c>
      <c r="AG116" s="2" t="str">
        <f t="shared" ca="1" si="172"/>
        <v>{"type":"h4","title":"108. Снегопад","style":"font-size:14px;width:85%;float:left"},{"type":"input","title":"папка","name":"e108","state":"{{e108}}","pattern":"[0-9]{1,2}","style":"background: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6" s="2" t="str">
        <f t="shared" ca="1" si="214"/>
        <v>"108": "108.Снегопад",</v>
      </c>
      <c r="AI116" s="16"/>
      <c r="AJ116" s="2" t="str">
        <f t="shared" ca="1" si="215"/>
        <v>108. Снегопад,99,255,1,100,0;</v>
      </c>
      <c r="AK116" s="2" t="str">
        <f t="shared" ca="1" si="175"/>
        <v>108.Снегопад</v>
      </c>
      <c r="AL116" s="29" t="s">
        <v>434</v>
      </c>
      <c r="AM116" s="2"/>
      <c r="AN116" s="17"/>
      <c r="AO116" s="2"/>
      <c r="AP116" s="2"/>
      <c r="AQ116" s="2"/>
      <c r="AR116" s="2"/>
      <c r="AS116" s="16"/>
      <c r="AT116" s="2"/>
      <c r="AU116" s="2"/>
      <c r="AV116" s="18"/>
      <c r="AW116" s="18"/>
      <c r="AX116" s="18"/>
      <c r="AY116" s="18"/>
      <c r="AZ116" s="18"/>
      <c r="BA116" s="18"/>
      <c r="BB116" s="18"/>
      <c r="BC116" s="18"/>
      <c r="BD116" s="18"/>
    </row>
    <row r="117" spans="1:56" ht="14.25" customHeight="1">
      <c r="A117" s="33">
        <f t="shared" ca="1" si="204"/>
        <v>109</v>
      </c>
      <c r="B117" s="38" t="s">
        <v>309</v>
      </c>
      <c r="C117" s="38" t="s">
        <v>310</v>
      </c>
      <c r="H117" s="38">
        <v>12</v>
      </c>
      <c r="I117" s="38">
        <v>175</v>
      </c>
      <c r="J117" s="38">
        <v>100</v>
      </c>
      <c r="L117" s="38">
        <v>1</v>
      </c>
      <c r="M117" s="38">
        <v>255</v>
      </c>
      <c r="N117" s="38">
        <v>1</v>
      </c>
      <c r="O117" s="38">
        <v>100</v>
      </c>
      <c r="P117" s="38">
        <v>0</v>
      </c>
      <c r="Q117" s="38" t="s">
        <v>39</v>
      </c>
      <c r="R117" s="38" t="s">
        <v>311</v>
      </c>
      <c r="S117" s="38">
        <v>2</v>
      </c>
      <c r="T117" s="38">
        <f t="shared" ca="1" si="205"/>
        <v>109</v>
      </c>
      <c r="U117" s="15"/>
      <c r="V117" s="2" t="str">
        <f t="shared" ca="1" si="206"/>
        <v>#define EFF_SPECTRUM            (109U)    // Спектрум</v>
      </c>
      <c r="W117" s="2" t="str">
        <f t="shared" ca="1" si="207"/>
        <v>String("109. Спектрум,1,255,1,100,0;") +</v>
      </c>
      <c r="X117" s="2" t="str">
        <f t="shared" ca="1" si="208"/>
        <v>String("109. ,1,255,1,100,0;") +</v>
      </c>
      <c r="Y117" s="2" t="str">
        <f t="shared" ca="1" si="209"/>
        <v>String("109. ,1,255,1,100,0;") +</v>
      </c>
      <c r="Z117" s="2" t="str">
        <f t="shared" ca="1" si="166"/>
        <v>109;12;175;100;Спектрум</v>
      </c>
      <c r="AA117" s="2" t="str">
        <f t="shared" ca="1" si="210"/>
        <v xml:space="preserve">        case EFF_SPECTRUM:            DYNAMIC_DELAY_TICK { effTimer = millis(); Spectrum();                   Eff_Tick (); }  break;  // (109U) Спектрум</v>
      </c>
      <c r="AC117" s="4" t="str">
        <f t="shared" ca="1" si="211"/>
        <v>"e109":0,</v>
      </c>
      <c r="AD117" s="4" t="str">
        <f t="shared" ca="1" si="212"/>
        <v>e109=[[e109]]&amp;</v>
      </c>
      <c r="AE117" s="4" t="str">
        <f t="shared" ca="1" si="213"/>
        <v>"e109":2,</v>
      </c>
      <c r="AF117" s="2" t="str">
        <f t="shared" ca="1" si="171"/>
        <v>{"type":"checkbox","class":"checkbox-big","name":"e109","title":"109. Спектрум","style":"font-size:16px;display:block","state":"{{e109}}"},</v>
      </c>
      <c r="AG117" s="2" t="str">
        <f t="shared" ca="1" si="172"/>
        <v>{"type":"h4","title":"109. Спектрум","style":"font-size:14px;width:85%;float:left"},{"type":"input","title":"папка","name":"e109","state":"{{e109}}","pattern":"[0-9]{1,2}","style":"background: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7" s="2" t="str">
        <f t="shared" ca="1" si="214"/>
        <v>"109": "109.Спектрум",</v>
      </c>
      <c r="AI117" s="16"/>
      <c r="AJ117" s="2" t="str">
        <f t="shared" ca="1" si="215"/>
        <v>109. Спектрум,1,255,1,100,0;</v>
      </c>
      <c r="AK117" s="2" t="str">
        <f t="shared" ca="1" si="175"/>
        <v>109.Спектрум</v>
      </c>
      <c r="AL117" s="29" t="s">
        <v>434</v>
      </c>
      <c r="AM117" s="2"/>
      <c r="AN117" s="17"/>
      <c r="AO117" s="2"/>
      <c r="AP117" s="2"/>
      <c r="AQ117" s="2"/>
      <c r="AR117" s="2"/>
      <c r="AS117" s="16"/>
      <c r="AT117" s="2"/>
      <c r="AU117" s="2"/>
      <c r="AV117" s="18"/>
      <c r="AW117" s="18"/>
      <c r="AX117" s="18"/>
      <c r="AY117" s="18"/>
      <c r="AZ117" s="18"/>
      <c r="BA117" s="18"/>
      <c r="BB117" s="18"/>
      <c r="BC117" s="18"/>
      <c r="BD117" s="18"/>
    </row>
    <row r="118" spans="1:56" ht="14.25" customHeight="1">
      <c r="A118" s="33">
        <f t="shared" ca="1" si="204"/>
        <v>110</v>
      </c>
      <c r="B118" s="38" t="s">
        <v>312</v>
      </c>
      <c r="C118" s="38" t="s">
        <v>313</v>
      </c>
      <c r="H118" s="38">
        <v>8</v>
      </c>
      <c r="I118" s="38">
        <v>45</v>
      </c>
      <c r="J118" s="38">
        <v>3</v>
      </c>
      <c r="L118" s="38">
        <v>1</v>
      </c>
      <c r="M118" s="38">
        <v>255</v>
      </c>
      <c r="N118" s="38">
        <v>1</v>
      </c>
      <c r="O118" s="38">
        <v>100</v>
      </c>
      <c r="P118" s="38">
        <v>0</v>
      </c>
      <c r="Q118" s="38" t="s">
        <v>76</v>
      </c>
      <c r="R118" s="38" t="s">
        <v>314</v>
      </c>
      <c r="S118" s="38">
        <v>2</v>
      </c>
      <c r="T118" s="38">
        <f t="shared" ca="1" si="205"/>
        <v>110</v>
      </c>
      <c r="U118" s="15"/>
      <c r="V118" s="2" t="str">
        <f t="shared" ca="1" si="206"/>
        <v>#define EFF_SPIRO               (110U)    // Спирали</v>
      </c>
      <c r="W118" s="2" t="str">
        <f t="shared" ca="1" si="207"/>
        <v>String("110. Спирали,1,255,1,100,0;") +</v>
      </c>
      <c r="X118" s="2" t="str">
        <f t="shared" ca="1" si="208"/>
        <v>String("110. ,1,255,1,100,0;") +</v>
      </c>
      <c r="Y118" s="2" t="str">
        <f t="shared" ca="1" si="209"/>
        <v>String("110. ,1,255,1,100,0;") +</v>
      </c>
      <c r="Z118" s="2" t="str">
        <f t="shared" ca="1" si="166"/>
        <v>110;8;45;3;Спирали</v>
      </c>
      <c r="AA118" s="2" t="str">
        <f t="shared" ca="1" si="210"/>
        <v xml:space="preserve">        case EFF_SPIRO:               LOW_DELAY_TICK { effTimer = millis(); spiroRoutine();               Eff_Tick (); }  break;  // (110U) Спирали</v>
      </c>
      <c r="AB118" s="2" t="str">
        <f t="shared" ref="AB118:AB119" ca="1" si="216">CONCATENATE("{""name"":""",A118,". ",C118,""",""spmin"":",L118,",""spmax"":",M118,",""scmin"":",N118,",""scmax"":",O118,",""type"":",P118,"},")</f>
        <v>{"name":"110. Спирали","spmin":1,"spmax":255,"scmin":1,"scmax":100,"type":0},</v>
      </c>
      <c r="AC118" s="4" t="str">
        <f t="shared" ca="1" si="211"/>
        <v>"e110":0,</v>
      </c>
      <c r="AD118" s="4" t="str">
        <f t="shared" ca="1" si="212"/>
        <v>e110=[[e110]]&amp;</v>
      </c>
      <c r="AE118" s="4" t="str">
        <f t="shared" ca="1" si="213"/>
        <v>"e110":2,</v>
      </c>
      <c r="AF118" s="2" t="str">
        <f t="shared" ca="1" si="171"/>
        <v>{"type":"checkbox","class":"checkbox-big","name":"e110","title":"110. Спирали","style":"font-size:16px;display:block","state":"{{e110}}"},</v>
      </c>
      <c r="AG118" s="2" t="str">
        <f t="shared" ca="1" si="172"/>
        <v>{"type":"h4","title":"110. Спирали","style":"font-size:14px;width:85%;float:left"},{"type":"input","title":"папка","name":"e110","state":"{{e110}}","pattern":"[0-9]{1,2}","style":"background: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8" s="2" t="str">
        <f t="shared" ca="1" si="214"/>
        <v>"110": "110.Спирали",</v>
      </c>
      <c r="AI118" s="16"/>
      <c r="AJ118" s="2" t="str">
        <f t="shared" ca="1" si="215"/>
        <v>110. Спирали,1,255,1,100,0;</v>
      </c>
      <c r="AK118" s="2" t="str">
        <f t="shared" ca="1" si="175"/>
        <v>110.Спирали</v>
      </c>
      <c r="AL118" s="29" t="s">
        <v>434</v>
      </c>
      <c r="AM118" s="2"/>
      <c r="AN118" s="17"/>
      <c r="AO118" s="2"/>
      <c r="AP118" s="2"/>
      <c r="AQ118" s="2"/>
      <c r="AR118" s="2"/>
      <c r="AS118" s="16"/>
      <c r="AT118" s="2"/>
      <c r="AU118" s="2"/>
      <c r="AV118" s="18"/>
      <c r="AW118" s="18"/>
      <c r="AX118" s="18"/>
      <c r="AY118" s="18"/>
      <c r="AZ118" s="18"/>
      <c r="BA118" s="18"/>
      <c r="BB118" s="18"/>
      <c r="BC118" s="18"/>
      <c r="BD118" s="18"/>
    </row>
    <row r="119" spans="1:56" ht="14.25" customHeight="1">
      <c r="A119" s="33">
        <f t="shared" ca="1" si="204"/>
        <v>111</v>
      </c>
      <c r="B119" s="38" t="s">
        <v>315</v>
      </c>
      <c r="C119" s="38" t="s">
        <v>316</v>
      </c>
      <c r="H119" s="38">
        <v>8</v>
      </c>
      <c r="I119" s="38">
        <v>136</v>
      </c>
      <c r="J119" s="38">
        <v>4</v>
      </c>
      <c r="L119" s="38">
        <v>1</v>
      </c>
      <c r="M119" s="38">
        <v>255</v>
      </c>
      <c r="N119" s="38">
        <v>1</v>
      </c>
      <c r="O119" s="38">
        <v>100</v>
      </c>
      <c r="P119" s="38">
        <v>0</v>
      </c>
      <c r="Q119" s="38" t="s">
        <v>76</v>
      </c>
      <c r="R119" s="38" t="s">
        <v>317</v>
      </c>
      <c r="S119" s="38">
        <v>2</v>
      </c>
      <c r="T119" s="38">
        <f t="shared" ca="1" si="205"/>
        <v>111</v>
      </c>
      <c r="U119" s="15"/>
      <c r="V119" s="2" t="str">
        <f t="shared" ca="1" si="206"/>
        <v>#define EFF_FLOCK               (111U)    // Стая</v>
      </c>
      <c r="W119" s="2" t="str">
        <f t="shared" ca="1" si="207"/>
        <v>String("111. Стая,1,255,1,100,0;") +</v>
      </c>
      <c r="X119" s="2" t="str">
        <f t="shared" ca="1" si="208"/>
        <v>String("111. ,1,255,1,100,0;") +</v>
      </c>
      <c r="Y119" s="2" t="str">
        <f t="shared" ca="1" si="209"/>
        <v>String("111. ,1,255,1,100,0;") +</v>
      </c>
      <c r="Z119" s="2" t="str">
        <f t="shared" ca="1" si="166"/>
        <v>111;8;136;4;Стая</v>
      </c>
      <c r="AA119" s="2" t="str">
        <f t="shared" ca="1" si="210"/>
        <v xml:space="preserve">        case EFF_FLOCK:               LOW_DELAY_TICK { effTimer = millis(); flockRoutine(false);          Eff_Tick (); }  break;  // (111U) Стая</v>
      </c>
      <c r="AB119" s="2" t="str">
        <f t="shared" ca="1" si="216"/>
        <v>{"name":"111. Стая","spmin":1,"spmax":255,"scmin":1,"scmax":100,"type":0},</v>
      </c>
      <c r="AC119" s="4" t="str">
        <f t="shared" ca="1" si="211"/>
        <v>"e111":0,</v>
      </c>
      <c r="AD119" s="4" t="str">
        <f t="shared" ca="1" si="212"/>
        <v>e111=[[e111]]&amp;</v>
      </c>
      <c r="AE119" s="4" t="str">
        <f t="shared" ca="1" si="213"/>
        <v>"e111":2,</v>
      </c>
      <c r="AF119" s="2" t="str">
        <f t="shared" ca="1" si="171"/>
        <v>{"type":"checkbox","class":"checkbox-big","name":"e111","title":"111. Стая","style":"font-size:16px;display:block","state":"{{e111}}"},</v>
      </c>
      <c r="AG119" s="2" t="str">
        <f t="shared" ca="1" si="172"/>
        <v>{"type":"h4","title":"111. Стая","style":"font-size:14px;width:85%;float:left"},{"type":"input","title":"папка","name":"e111","state":"{{e111}}","pattern":"[0-9]{1,2}","style":"background: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19" s="2" t="str">
        <f t="shared" ca="1" si="214"/>
        <v>"111": "111.Стая",</v>
      </c>
      <c r="AI119" s="16"/>
      <c r="AJ119" s="2" t="str">
        <f t="shared" ca="1" si="215"/>
        <v>111. Стая,1,255,1,100,0;</v>
      </c>
      <c r="AK119" s="2" t="str">
        <f t="shared" ca="1" si="175"/>
        <v>111.Стая</v>
      </c>
      <c r="AL119" s="29" t="s">
        <v>434</v>
      </c>
      <c r="AM119" s="2"/>
      <c r="AN119" s="17"/>
      <c r="AO119" s="2"/>
      <c r="AP119" s="2"/>
      <c r="AQ119" s="2"/>
      <c r="AR119" s="2"/>
      <c r="AS119" s="16"/>
      <c r="AT119" s="2"/>
      <c r="AU119" s="2"/>
      <c r="AV119" s="18"/>
      <c r="AW119" s="18"/>
      <c r="AX119" s="18"/>
      <c r="AY119" s="18"/>
      <c r="AZ119" s="18"/>
      <c r="BA119" s="18"/>
      <c r="BB119" s="18"/>
      <c r="BC119" s="18"/>
      <c r="BD119" s="18"/>
    </row>
    <row r="120" spans="1:56" ht="14.25" customHeight="1">
      <c r="A120" s="33">
        <f t="shared" ca="1" si="204"/>
        <v>112</v>
      </c>
      <c r="B120" s="38" t="s">
        <v>318</v>
      </c>
      <c r="C120" s="38" t="s">
        <v>319</v>
      </c>
      <c r="H120" s="38">
        <v>8</v>
      </c>
      <c r="I120" s="38">
        <v>128</v>
      </c>
      <c r="J120" s="38">
        <v>80</v>
      </c>
      <c r="L120" s="38">
        <v>1</v>
      </c>
      <c r="M120" s="38">
        <v>255</v>
      </c>
      <c r="N120" s="38">
        <v>1</v>
      </c>
      <c r="O120" s="38">
        <v>100</v>
      </c>
      <c r="P120" s="38">
        <v>0</v>
      </c>
      <c r="Q120" s="38" t="s">
        <v>76</v>
      </c>
      <c r="R120" s="38" t="s">
        <v>320</v>
      </c>
      <c r="S120" s="38">
        <v>2</v>
      </c>
      <c r="T120" s="38">
        <f t="shared" ca="1" si="205"/>
        <v>112</v>
      </c>
      <c r="U120" s="15"/>
      <c r="V120" s="2" t="str">
        <f t="shared" ca="1" si="206"/>
        <v>#define EFF_FLOCK_N_PR          (112U)    // Стая и хищник</v>
      </c>
      <c r="W120" s="2" t="str">
        <f t="shared" ca="1" si="207"/>
        <v>String("112. Стая и хищник,1,255,1,100,0;") +</v>
      </c>
      <c r="X120" s="2" t="str">
        <f t="shared" ca="1" si="208"/>
        <v>String("112. ,1,255,1,100,0;") +</v>
      </c>
      <c r="Y120" s="2" t="str">
        <f t="shared" ca="1" si="209"/>
        <v>String("112. ,1,255,1,100,0;") +</v>
      </c>
      <c r="Z120" s="2" t="str">
        <f t="shared" ca="1" si="166"/>
        <v>112;8;128;80;Стая и хищник</v>
      </c>
      <c r="AA120" s="2" t="str">
        <f t="shared" ca="1" si="210"/>
        <v xml:space="preserve">        case EFF_FLOCK_N_PR:          LOW_DELAY_TICK { effTimer = millis(); flockRoutine(true);           Eff_Tick (); }  break;  // (112U) Стая и хищник</v>
      </c>
      <c r="AC120" s="4" t="str">
        <f t="shared" ca="1" si="211"/>
        <v>"e112":0,</v>
      </c>
      <c r="AD120" s="4" t="str">
        <f t="shared" ca="1" si="212"/>
        <v>e112=[[e112]]&amp;</v>
      </c>
      <c r="AE120" s="4" t="str">
        <f t="shared" ca="1" si="213"/>
        <v>"e112":2,</v>
      </c>
      <c r="AF120" s="2" t="str">
        <f t="shared" ca="1" si="171"/>
        <v>{"type":"checkbox","class":"checkbox-big","name":"e112","title":"112. Стая и хищник","style":"font-size:16px;display:block","state":"{{e112}}"},</v>
      </c>
      <c r="AG120" s="2" t="str">
        <f t="shared" ca="1" si="172"/>
        <v>{"type":"h4","title":"112. Стая и хищник","style":"font-size:14px;width:85%;float:left"},{"type":"input","title":"папка","name":"e112","state":"{{e112}}","pattern":"[0-9]{1,2}","style":"background: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0" s="2" t="str">
        <f t="shared" ca="1" si="214"/>
        <v>"112": "112.Стая и хищник",</v>
      </c>
      <c r="AI120" s="16"/>
      <c r="AJ120" s="2" t="str">
        <f t="shared" ca="1" si="215"/>
        <v>112. Стая и хищник,1,255,1,100,0;</v>
      </c>
      <c r="AK120" s="2" t="str">
        <f t="shared" ca="1" si="175"/>
        <v>112.Стая и хищник</v>
      </c>
      <c r="AL120" s="29" t="s">
        <v>434</v>
      </c>
      <c r="AM120" s="2"/>
      <c r="AN120" s="17"/>
      <c r="AO120" s="2"/>
      <c r="AP120" s="2"/>
      <c r="AQ120" s="2"/>
      <c r="AR120" s="2"/>
      <c r="AS120" s="16"/>
      <c r="AT120" s="2"/>
      <c r="AU120" s="2"/>
      <c r="AV120" s="18"/>
      <c r="AW120" s="18"/>
      <c r="AX120" s="18"/>
      <c r="AY120" s="18"/>
      <c r="AZ120" s="18"/>
      <c r="BA120" s="18"/>
      <c r="BB120" s="18"/>
      <c r="BC120" s="18"/>
      <c r="BD120" s="18"/>
    </row>
    <row r="121" spans="1:56" ht="14.25" customHeight="1">
      <c r="A121" s="33">
        <f t="shared" ca="1" si="204"/>
        <v>113</v>
      </c>
      <c r="B121" s="38" t="s">
        <v>321</v>
      </c>
      <c r="C121" s="38" t="s">
        <v>322</v>
      </c>
      <c r="H121" s="38">
        <v>30</v>
      </c>
      <c r="I121" s="38">
        <v>165</v>
      </c>
      <c r="J121" s="38">
        <v>40</v>
      </c>
      <c r="L121" s="38">
        <v>80</v>
      </c>
      <c r="M121" s="38">
        <v>255</v>
      </c>
      <c r="N121" s="38">
        <v>1</v>
      </c>
      <c r="O121" s="38">
        <v>100</v>
      </c>
      <c r="P121" s="38">
        <v>0</v>
      </c>
      <c r="Q121" s="38" t="s">
        <v>39</v>
      </c>
      <c r="R121" s="38" t="s">
        <v>323</v>
      </c>
      <c r="S121" s="38">
        <v>2</v>
      </c>
      <c r="T121" s="38">
        <f t="shared" ca="1" si="205"/>
        <v>113</v>
      </c>
      <c r="U121" s="15"/>
      <c r="V121" s="2" t="str">
        <f t="shared" ca="1" si="206"/>
        <v>#define EFF_ARROWS              (113U)    // Стрелки</v>
      </c>
      <c r="W121" s="2" t="str">
        <f t="shared" ca="1" si="207"/>
        <v>String("113. Стрелки,80,255,1,100,0;") +</v>
      </c>
      <c r="X121" s="2" t="str">
        <f t="shared" ca="1" si="208"/>
        <v>String("113. ,80,255,1,100,0;") +</v>
      </c>
      <c r="Y121" s="2" t="str">
        <f t="shared" ca="1" si="209"/>
        <v>String("113. ,80,255,1,100,0;") +</v>
      </c>
      <c r="Z121" s="2" t="str">
        <f t="shared" ca="1" si="166"/>
        <v>113;30;165;40;Стрелки</v>
      </c>
      <c r="AA121" s="2" t="str">
        <f t="shared" ca="1" si="210"/>
        <v xml:space="preserve">        case EFF_ARROWS:              DYNAMIC_DELAY_TICK { effTimer = millis(); arrowsRoutine();              Eff_Tick (); }  break;  // (113U) Стрелки</v>
      </c>
      <c r="AB121" s="2" t="str">
        <f t="shared" ref="AB121:AB125" ca="1" si="217">CONCATENATE("{""name"":""",A121,". ",C121,""",""spmin"":",L121,",""spmax"":",M121,",""scmin"":",N121,",""scmax"":",O121,",""type"":",P121,"},")</f>
        <v>{"name":"113. Стрелки","spmin":80,"spmax":255,"scmin":1,"scmax":100,"type":0},</v>
      </c>
      <c r="AC121" s="4" t="str">
        <f t="shared" ca="1" si="211"/>
        <v>"e113":0,</v>
      </c>
      <c r="AD121" s="4" t="str">
        <f t="shared" ca="1" si="212"/>
        <v>e113=[[e113]]&amp;</v>
      </c>
      <c r="AE121" s="4" t="str">
        <f t="shared" ca="1" si="213"/>
        <v>"e113":2,</v>
      </c>
      <c r="AF121" s="2" t="str">
        <f t="shared" ca="1" si="171"/>
        <v>{"type":"checkbox","class":"checkbox-big","name":"e113","title":"113. Стрелки","style":"font-size:16px;display:block","state":"{{e113}}"},</v>
      </c>
      <c r="AG121" s="2" t="str">
        <f t="shared" ca="1" si="172"/>
        <v>{"type":"h4","title":"113. Стрелки","style":"font-size:14px;width:85%;float:left"},{"type":"input","title":"папка","name":"e113","state":"{{e113}}","pattern":"[0-9]{1,2}","style":"background: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1" s="2" t="str">
        <f t="shared" ca="1" si="214"/>
        <v>"113": "113.Стрелки",</v>
      </c>
      <c r="AI121" s="16"/>
      <c r="AJ121" s="2" t="str">
        <f t="shared" ca="1" si="215"/>
        <v>113. Стрелки,80,255,1,100,0;</v>
      </c>
      <c r="AK121" s="2" t="str">
        <f t="shared" ca="1" si="175"/>
        <v>113.Стрелки</v>
      </c>
      <c r="AL121" s="29" t="s">
        <v>434</v>
      </c>
      <c r="AM121" s="2"/>
      <c r="AN121" s="17"/>
      <c r="AO121" s="2"/>
      <c r="AP121" s="2"/>
      <c r="AQ121" s="2"/>
      <c r="AR121" s="2"/>
      <c r="AS121" s="16"/>
      <c r="AT121" s="2"/>
      <c r="AU121" s="2"/>
      <c r="AV121" s="18"/>
      <c r="AW121" s="18"/>
      <c r="AX121" s="18"/>
      <c r="AY121" s="18"/>
      <c r="AZ121" s="18"/>
      <c r="BA121" s="18"/>
      <c r="BB121" s="18"/>
      <c r="BC121" s="18"/>
      <c r="BD121" s="18"/>
    </row>
    <row r="122" spans="1:56" ht="14.25" customHeight="1">
      <c r="A122" s="33">
        <f t="shared" ca="1" si="204"/>
        <v>114</v>
      </c>
      <c r="B122" s="38" t="s">
        <v>324</v>
      </c>
      <c r="C122" s="38" t="s">
        <v>325</v>
      </c>
      <c r="H122" s="38">
        <v>12</v>
      </c>
      <c r="I122" s="38">
        <v>1</v>
      </c>
      <c r="J122" s="38">
        <v>45</v>
      </c>
      <c r="L122" s="38">
        <v>1</v>
      </c>
      <c r="M122" s="38">
        <v>255</v>
      </c>
      <c r="N122" s="38">
        <v>1</v>
      </c>
      <c r="O122" s="38">
        <v>100</v>
      </c>
      <c r="P122" s="38">
        <v>0</v>
      </c>
      <c r="Q122" s="38" t="s">
        <v>76</v>
      </c>
      <c r="R122" s="38" t="s">
        <v>326</v>
      </c>
      <c r="S122" s="38">
        <v>2</v>
      </c>
      <c r="T122" s="38">
        <f t="shared" ca="1" si="205"/>
        <v>114</v>
      </c>
      <c r="U122" s="15"/>
      <c r="V122" s="2" t="str">
        <f t="shared" ca="1" si="206"/>
        <v>#define EFF_STROBE              (114U)    // Строб.Хаос.Дифузия</v>
      </c>
      <c r="W122" s="2" t="str">
        <f t="shared" ca="1" si="207"/>
        <v>String("114. Строб.Хаос.Дифузия,1,255,1,100,0;") +</v>
      </c>
      <c r="X122" s="2" t="str">
        <f t="shared" ca="1" si="208"/>
        <v>String("114. ,1,255,1,100,0;") +</v>
      </c>
      <c r="Y122" s="2" t="str">
        <f t="shared" ca="1" si="209"/>
        <v>String("114. ,1,255,1,100,0;") +</v>
      </c>
      <c r="Z122" s="2" t="str">
        <f t="shared" ca="1" si="166"/>
        <v>114;12;1;45;Строб.Хаос.Дифузия</v>
      </c>
      <c r="AA122" s="2" t="str">
        <f t="shared" ca="1" si="210"/>
        <v xml:space="preserve">        case EFF_STROBE:              LOW_DELAY_TICK { effTimer = millis(); StrobeAndDiffusion();         Eff_Tick (); }  break;  // (114U) Строб.Хаос.Дифузия</v>
      </c>
      <c r="AB122" s="2" t="str">
        <f t="shared" ca="1" si="217"/>
        <v>{"name":"114. Строб.Хаос.Дифузия","spmin":1,"spmax":255,"scmin":1,"scmax":100,"type":0},</v>
      </c>
      <c r="AC122" s="4" t="str">
        <f t="shared" ca="1" si="211"/>
        <v>"e114":0,</v>
      </c>
      <c r="AD122" s="4" t="str">
        <f t="shared" ca="1" si="212"/>
        <v>e114=[[e114]]&amp;</v>
      </c>
      <c r="AE122" s="4" t="str">
        <f t="shared" ca="1" si="213"/>
        <v>"e114":2,</v>
      </c>
      <c r="AF122" s="2" t="str">
        <f t="shared" ca="1" si="171"/>
        <v>{"type":"checkbox","class":"checkbox-big","name":"e114","title":"114. Строб.Хаос.Дифузия","style":"font-size:16px;display:block","state":"{{e114}}"},</v>
      </c>
      <c r="AG122" s="2" t="str">
        <f t="shared" ca="1" si="172"/>
        <v>{"type":"h4","title":"114. Строб.Хаос.Дифузия","style":"font-size:14px;width:85%;float:left"},{"type":"input","title":"папка","name":"e114","state":"{{e114}}","pattern":"[0-9]{1,2}","style":"background: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2" s="2" t="str">
        <f t="shared" ca="1" si="214"/>
        <v>"114": "114.Строб.Хаос.Дифузия",</v>
      </c>
      <c r="AI122" s="16"/>
      <c r="AJ122" s="2" t="str">
        <f t="shared" ca="1" si="215"/>
        <v>114. Строб.Хаос.Дифузия,1,255,1,100,0;</v>
      </c>
      <c r="AK122" s="2" t="str">
        <f t="shared" ca="1" si="175"/>
        <v>114.Строб.Хаос.Дифузия</v>
      </c>
      <c r="AL122" s="29" t="s">
        <v>434</v>
      </c>
      <c r="AM122" s="2"/>
      <c r="AN122" s="17"/>
      <c r="AO122" s="2"/>
      <c r="AP122" s="2"/>
      <c r="AQ122" s="2"/>
      <c r="AR122" s="2"/>
      <c r="AS122" s="16"/>
      <c r="AT122" s="2"/>
      <c r="AU122" s="2"/>
      <c r="AV122" s="18"/>
      <c r="AW122" s="18"/>
      <c r="AX122" s="18"/>
      <c r="AY122" s="18"/>
      <c r="AZ122" s="18"/>
      <c r="BA122" s="18"/>
      <c r="BB122" s="18"/>
      <c r="BC122" s="18"/>
      <c r="BD122" s="18"/>
    </row>
    <row r="123" spans="1:56" ht="14.25" customHeight="1">
      <c r="A123" s="33">
        <f t="shared" ca="1" si="204"/>
        <v>115</v>
      </c>
      <c r="B123" s="38" t="s">
        <v>327</v>
      </c>
      <c r="C123" s="38" t="s">
        <v>328</v>
      </c>
      <c r="H123" s="38">
        <v>25</v>
      </c>
      <c r="I123" s="38">
        <v>160</v>
      </c>
      <c r="J123" s="38">
        <v>1</v>
      </c>
      <c r="L123" s="38">
        <v>1</v>
      </c>
      <c r="M123" s="38">
        <v>255</v>
      </c>
      <c r="N123" s="38">
        <v>1</v>
      </c>
      <c r="O123" s="38">
        <v>100</v>
      </c>
      <c r="P123" s="38">
        <v>0</v>
      </c>
      <c r="Q123" s="38" t="s">
        <v>76</v>
      </c>
      <c r="R123" s="38" t="s">
        <v>329</v>
      </c>
      <c r="S123" s="38">
        <v>2</v>
      </c>
      <c r="T123" s="38">
        <f t="shared" ca="1" si="205"/>
        <v>115</v>
      </c>
      <c r="U123" s="15"/>
      <c r="V123" s="2" t="str">
        <f t="shared" ca="1" si="206"/>
        <v>#define EFF_SHADOWS             (115U)    // Тени</v>
      </c>
      <c r="W123" s="2" t="str">
        <f t="shared" ca="1" si="207"/>
        <v>String("115. Тени,1,255,1,100,0;") +</v>
      </c>
      <c r="X123" s="2" t="str">
        <f t="shared" ca="1" si="208"/>
        <v>String("115. ,1,255,1,100,0;") +</v>
      </c>
      <c r="Y123" s="2" t="str">
        <f t="shared" ca="1" si="209"/>
        <v>String("115. ,1,255,1,100,0;") +</v>
      </c>
      <c r="Z123" s="2" t="str">
        <f t="shared" ca="1" si="166"/>
        <v>115;25;160;1;Тени</v>
      </c>
      <c r="AA123" s="2" t="str">
        <f t="shared" ca="1" si="210"/>
        <v xml:space="preserve">        case EFF_SHADOWS:             LOW_DELAY_TICK { effTimer = millis(); shadowsRoutine();             Eff_Tick (); }  break;  // (115U) Тени</v>
      </c>
      <c r="AB123" s="2" t="str">
        <f t="shared" ca="1" si="217"/>
        <v>{"name":"115. Тени","spmin":1,"spmax":255,"scmin":1,"scmax":100,"type":0},</v>
      </c>
      <c r="AC123" s="4" t="str">
        <f t="shared" ca="1" si="211"/>
        <v>"e115":0,</v>
      </c>
      <c r="AD123" s="4" t="str">
        <f t="shared" ca="1" si="212"/>
        <v>e115=[[e115]]&amp;</v>
      </c>
      <c r="AE123" s="4" t="str">
        <f t="shared" ca="1" si="213"/>
        <v>"e115":2,</v>
      </c>
      <c r="AF123" s="2" t="str">
        <f t="shared" ca="1" si="171"/>
        <v>{"type":"checkbox","class":"checkbox-big","name":"e115","title":"115. Тени","style":"font-size:16px;display:block","state":"{{e115}}"},</v>
      </c>
      <c r="AG123" s="2" t="str">
        <f t="shared" ca="1" si="172"/>
        <v>{"type":"h4","title":"115. Тени","style":"font-size:14px;width:85%;float:left"},{"type":"input","title":"папка","name":"e115","state":"{{e115}}","pattern":"[0-9]{1,2}","style":"background: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3" s="2" t="str">
        <f t="shared" ca="1" si="214"/>
        <v>"115": "115.Тени",</v>
      </c>
      <c r="AI123" s="16"/>
      <c r="AJ123" s="2" t="str">
        <f t="shared" ca="1" si="215"/>
        <v>115. Тени,1,255,1,100,0;</v>
      </c>
      <c r="AK123" s="2" t="str">
        <f t="shared" ca="1" si="175"/>
        <v>115.Тени</v>
      </c>
      <c r="AL123" s="29" t="s">
        <v>434</v>
      </c>
      <c r="AM123" s="2"/>
      <c r="AN123" s="17"/>
      <c r="AO123" s="2"/>
      <c r="AP123" s="2"/>
      <c r="AQ123" s="2"/>
      <c r="AR123" s="2"/>
      <c r="AS123" s="16"/>
      <c r="AT123" s="2"/>
      <c r="AU123" s="2"/>
      <c r="AV123" s="18"/>
      <c r="AW123" s="18"/>
      <c r="AX123" s="18"/>
      <c r="AY123" s="18"/>
      <c r="AZ123" s="18"/>
      <c r="BA123" s="18"/>
      <c r="BB123" s="18"/>
      <c r="BC123" s="18"/>
      <c r="BD123" s="18"/>
    </row>
    <row r="124" spans="1:56" ht="14.25" customHeight="1">
      <c r="A124" s="33">
        <f t="shared" ca="1" si="204"/>
        <v>116</v>
      </c>
      <c r="B124" s="38" t="s">
        <v>330</v>
      </c>
      <c r="C124" s="38" t="s">
        <v>331</v>
      </c>
      <c r="H124" s="38">
        <v>10</v>
      </c>
      <c r="I124" s="38">
        <v>127</v>
      </c>
      <c r="J124" s="38">
        <v>100</v>
      </c>
      <c r="L124" s="38">
        <v>1</v>
      </c>
      <c r="M124" s="38">
        <v>255</v>
      </c>
      <c r="N124" s="38">
        <v>1</v>
      </c>
      <c r="O124" s="38">
        <v>100</v>
      </c>
      <c r="P124" s="38">
        <v>1</v>
      </c>
      <c r="Q124" s="38" t="s">
        <v>76</v>
      </c>
      <c r="R124" s="38" t="s">
        <v>332</v>
      </c>
      <c r="S124" s="38">
        <v>5</v>
      </c>
      <c r="T124" s="38">
        <f t="shared" ca="1" si="205"/>
        <v>116</v>
      </c>
      <c r="U124" s="15"/>
      <c r="V124" s="2" t="str">
        <f t="shared" ca="1" si="206"/>
        <v>#define EFF_PACIFIC             (116U)    // Тихий океан</v>
      </c>
      <c r="W124" s="2" t="str">
        <f t="shared" ca="1" si="207"/>
        <v>String("116. Тихий океан,1,255,1,100,1;") +</v>
      </c>
      <c r="X124" s="2" t="str">
        <f t="shared" ca="1" si="208"/>
        <v>String("116. ,1,255,1,100,1;") +</v>
      </c>
      <c r="Y124" s="2" t="str">
        <f t="shared" ca="1" si="209"/>
        <v>String("116. ,1,255,1,100,1;") +</v>
      </c>
      <c r="Z124" s="2" t="str">
        <f t="shared" ca="1" si="166"/>
        <v>116;10;127;100;Тихий океан</v>
      </c>
      <c r="AA124" s="2" t="str">
        <f t="shared" ca="1" si="210"/>
        <v xml:space="preserve">        case EFF_PACIFIC:             LOW_DELAY_TICK { effTimer = millis(); pacificRoutine();             Eff_Tick (); }  break;  // (116U) Тихий океан</v>
      </c>
      <c r="AB124" s="2" t="str">
        <f t="shared" ca="1" si="217"/>
        <v>{"name":"116. Тихий океан","spmin":1,"spmax":255,"scmin":1,"scmax":100,"type":1},</v>
      </c>
      <c r="AC124" s="4" t="str">
        <f t="shared" ca="1" si="211"/>
        <v>"e116":0,</v>
      </c>
      <c r="AD124" s="4" t="str">
        <f t="shared" ca="1" si="212"/>
        <v>e116=[[e116]]&amp;</v>
      </c>
      <c r="AE124" s="4" t="str">
        <f t="shared" ca="1" si="213"/>
        <v>"e116":5,</v>
      </c>
      <c r="AF124" s="2" t="str">
        <f t="shared" ca="1" si="171"/>
        <v>{"type":"checkbox","class":"checkbox-big","name":"e116","title":"116. Тихий океан","style":"font-size:16px;display:block","state":"{{e116}}"},</v>
      </c>
      <c r="AG124" s="2" t="str">
        <f t="shared" ca="1" si="172"/>
        <v>{"type":"h4","title":"116. Тихий океан","style":"font-size:14px;width:85%;float:left"},{"type":"input","title":"папка","name":"e116","state":"{{e116}}","pattern":"[0-9]{1,2}","style":"background: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4" s="2" t="str">
        <f t="shared" ca="1" si="214"/>
        <v>"116": "116.Тихий океан",</v>
      </c>
      <c r="AI124" s="16"/>
      <c r="AJ124" s="2" t="str">
        <f t="shared" ca="1" si="215"/>
        <v>116. Тихий океан,1,255,1,100,1;</v>
      </c>
      <c r="AK124" s="2" t="str">
        <f t="shared" ca="1" si="175"/>
        <v>116.Тихий океан</v>
      </c>
      <c r="AL124" s="29" t="s">
        <v>434</v>
      </c>
      <c r="AM124" s="2"/>
      <c r="AN124" s="17"/>
      <c r="AO124" s="2"/>
      <c r="AP124" s="2"/>
      <c r="AQ124" s="2"/>
      <c r="AR124" s="2"/>
      <c r="AS124" s="16"/>
      <c r="AT124" s="2"/>
      <c r="AU124" s="2"/>
      <c r="AV124" s="18"/>
      <c r="AW124" s="18"/>
      <c r="AX124" s="18"/>
      <c r="AY124" s="18"/>
      <c r="AZ124" s="18"/>
      <c r="BA124" s="18"/>
      <c r="BB124" s="18"/>
      <c r="BC124" s="18"/>
      <c r="BD124" s="18"/>
    </row>
    <row r="125" spans="1:56">
      <c r="A125" s="33">
        <f t="shared" ca="1" si="204"/>
        <v>117</v>
      </c>
      <c r="B125" s="38" t="s">
        <v>374</v>
      </c>
      <c r="C125" s="38" t="s">
        <v>375</v>
      </c>
      <c r="H125" s="38">
        <v>8</v>
      </c>
      <c r="I125" s="38">
        <v>127</v>
      </c>
      <c r="J125" s="38">
        <v>50</v>
      </c>
      <c r="L125" s="38">
        <v>1</v>
      </c>
      <c r="M125" s="38">
        <v>255</v>
      </c>
      <c r="N125" s="38">
        <v>1</v>
      </c>
      <c r="O125" s="38">
        <v>100</v>
      </c>
      <c r="P125" s="38">
        <v>0</v>
      </c>
      <c r="Q125" s="38" t="s">
        <v>76</v>
      </c>
      <c r="R125" s="38" t="s">
        <v>381</v>
      </c>
      <c r="S125" s="38">
        <v>2</v>
      </c>
      <c r="T125" s="38">
        <f t="shared" ca="1" si="205"/>
        <v>117</v>
      </c>
      <c r="V125" s="2" t="str">
        <f t="shared" ca="1" si="206"/>
        <v>#define EFF_TORNADO             (117U)    // Торнадо</v>
      </c>
      <c r="W125" s="2" t="str">
        <f t="shared" ca="1" si="207"/>
        <v>String("117. Торнадо,1,255,1,100,0;") +</v>
      </c>
      <c r="X125" s="2" t="str">
        <f t="shared" ca="1" si="208"/>
        <v>String("117. ,1,255,1,100,0;") +</v>
      </c>
      <c r="Y125" s="2" t="str">
        <f t="shared" ca="1" si="209"/>
        <v>String("117. ,1,255,1,100,0;") +</v>
      </c>
      <c r="Z125" s="2" t="str">
        <f t="shared" ca="1" si="166"/>
        <v>117;8;127;50;Торнадо</v>
      </c>
      <c r="AA125" s="2" t="str">
        <f t="shared" ca="1" si="210"/>
        <v xml:space="preserve">        case EFF_TORNADO:             LOW_DELAY_TICK { effTimer = millis(); Tornado();                    Eff_Tick (); }  break;  // (117U) Торнадо</v>
      </c>
      <c r="AB125" s="2" t="str">
        <f t="shared" ca="1" si="217"/>
        <v>{"name":"117. Торнадо","spmin":1,"spmax":255,"scmin":1,"scmax":100,"type":0},</v>
      </c>
      <c r="AC125" s="4" t="str">
        <f t="shared" ca="1" si="211"/>
        <v>"e117":0,</v>
      </c>
      <c r="AD125" s="4" t="str">
        <f t="shared" ca="1" si="212"/>
        <v>e117=[[e117]]&amp;</v>
      </c>
      <c r="AE125" s="4" t="str">
        <f t="shared" ca="1" si="213"/>
        <v>"e117":2,</v>
      </c>
      <c r="AF125" s="2" t="str">
        <f t="shared" ca="1" si="171"/>
        <v>{"type":"checkbox","class":"checkbox-big","name":"e117","title":"117. Торнадо","style":"font-size:16px;display:block","state":"{{e117}}"},</v>
      </c>
      <c r="AG125" s="2" t="str">
        <f t="shared" ca="1" si="172"/>
        <v>{"type":"h4","title":"117. Торнадо","style":"font-size:14px;width:85%;float:left"},{"type":"input","title":"папка","name":"e117","state":"{{e117}}","pattern":"[0-9]{1,2}","style":"background: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5" s="2" t="str">
        <f t="shared" ca="1" si="214"/>
        <v>"117": "117.Торнадо",</v>
      </c>
      <c r="AI125" s="16"/>
      <c r="AJ125" s="2" t="str">
        <f t="shared" ca="1" si="215"/>
        <v>117. Торнадо,1,255,1,100,0;</v>
      </c>
      <c r="AK125" s="2" t="str">
        <f t="shared" ca="1" si="175"/>
        <v>117.Торнадо</v>
      </c>
      <c r="AL125" s="29" t="s">
        <v>434</v>
      </c>
    </row>
    <row r="126" spans="1:56" ht="14.25" customHeight="1">
      <c r="A126" s="33">
        <f t="shared" ref="A126:A131" ca="1" si="218">MAX(OFFSET(A126,-4,0,4,1))+1</f>
        <v>118</v>
      </c>
      <c r="B126" s="38" t="s">
        <v>333</v>
      </c>
      <c r="C126" s="38" t="s">
        <v>334</v>
      </c>
      <c r="H126" s="38">
        <v>25</v>
      </c>
      <c r="I126" s="38">
        <v>210</v>
      </c>
      <c r="J126" s="38">
        <v>2</v>
      </c>
      <c r="L126" s="38">
        <v>99</v>
      </c>
      <c r="M126" s="38">
        <v>255</v>
      </c>
      <c r="N126" s="38">
        <v>1</v>
      </c>
      <c r="O126" s="38">
        <v>100</v>
      </c>
      <c r="P126" s="38">
        <v>0</v>
      </c>
      <c r="Q126" s="38" t="s">
        <v>39</v>
      </c>
      <c r="R126" s="38" t="s">
        <v>335</v>
      </c>
      <c r="S126" s="38">
        <v>4</v>
      </c>
      <c r="T126" s="38">
        <f t="shared" ca="1" si="205"/>
        <v>118</v>
      </c>
      <c r="U126" s="15"/>
      <c r="V126" s="2" t="str">
        <f t="shared" ca="1" si="206"/>
        <v>#define EFF_SIMPLE_RAIN         (118U)    // Tyчкa в банке</v>
      </c>
      <c r="W126" s="2" t="str">
        <f t="shared" ref="W126:W131" ca="1" si="219">CONCATENATE("String(""",A126,". ",C126,",",L126,",",M126,",",N126,",",O126,",",P126,";"") +")</f>
        <v>String("118. Tyчкa в банке,99,255,1,100,0;") +</v>
      </c>
      <c r="X126" s="2" t="str">
        <f t="shared" ref="X126:X131" ca="1" si="220">CONCATENATE("String(""",A126,". ",D126,",",L126,",",M126,",",N126,",",O126,",",P126,";"") +")</f>
        <v>String("118. ,99,255,1,100,0;") +</v>
      </c>
      <c r="Y126" s="2" t="str">
        <f t="shared" ref="Y126:Y131" ca="1" si="221">CONCATENATE("String(""",A126,". ",E126,",",L126,",",M126,",",N126,",",O126,",",P126,";"") +")</f>
        <v>String("118. ,99,255,1,100,0;") +</v>
      </c>
      <c r="Z126" s="2" t="str">
        <f t="shared" ca="1" si="166"/>
        <v>118;25;210;2;Tyчкa в банке</v>
      </c>
      <c r="AA126" s="2" t="str">
        <f t="shared" ca="1" si="210"/>
        <v xml:space="preserve">        case EFF_SIMPLE_RAIN:         DYNAMIC_DELAY_TICK { effTimer = millis(); simpleRain();                 Eff_Tick (); }  break;  // (118U) Tyчкa в банке</v>
      </c>
      <c r="AB126" s="2" t="str">
        <f ca="1">CONCATENATE("{""name"":""",A126,". ",C126,""",""spmin"":",L126,",""spmax"":",M126,",""scmin"":",N126,",""scmax"":",O126,",""type"":",P126,"},")</f>
        <v>{"name":"118. Tyчкa в банке","spmin":99,"spmax":255,"scmin":1,"scmax":100,"type":0},</v>
      </c>
      <c r="AC126" s="4" t="str">
        <f t="shared" ca="1" si="211"/>
        <v>"e118":0,</v>
      </c>
      <c r="AD126" s="4" t="str">
        <f t="shared" ca="1" si="212"/>
        <v>e118=[[e118]]&amp;</v>
      </c>
      <c r="AE126" s="4" t="str">
        <f t="shared" ca="1" si="213"/>
        <v>"e118":4,</v>
      </c>
      <c r="AF126" s="2" t="str">
        <f t="shared" ca="1" si="171"/>
        <v>{"type":"checkbox","class":"checkbox-big","name":"e118","title":"118. Tyчкa в банке","style":"font-size:16px;display:block","state":"{{e118}}"},</v>
      </c>
      <c r="AG126" s="2" t="str">
        <f t="shared" ca="1" si="172"/>
        <v>{"type":"h4","title":"118. Tyчкa в банке","style":"font-size:14px;width:85%;float:left"},{"type":"input","title":"папка","name":"e118","state":"{{e118}}","pattern":"[0-9]{1,2}","style":"background: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6" s="2" t="str">
        <f t="shared" ca="1" si="214"/>
        <v>"118": "118.Tyчкa в банке",</v>
      </c>
      <c r="AI126" s="16"/>
      <c r="AJ126" s="2" t="str">
        <f t="shared" ref="AJ126:AJ131" ca="1" si="222">CONCATENATE(A126,". ",C126,",",L126,",",M126,",",N126,",",O126,",",P126,";")</f>
        <v>118. Tyчкa в банке,99,255,1,100,0;</v>
      </c>
      <c r="AK126" s="2" t="str">
        <f t="shared" ca="1" si="175"/>
        <v>118.Tyчкa в банке</v>
      </c>
      <c r="AL126" s="29" t="s">
        <v>434</v>
      </c>
      <c r="AM126" s="2"/>
      <c r="AN126" s="17"/>
      <c r="AO126" s="2"/>
      <c r="AP126" s="2"/>
      <c r="AQ126" s="2"/>
      <c r="AR126" s="2"/>
      <c r="AS126" s="16"/>
      <c r="AT126" s="2"/>
      <c r="AU126" s="2"/>
      <c r="AV126" s="18"/>
      <c r="AW126" s="18"/>
      <c r="AX126" s="18"/>
      <c r="AY126" s="18"/>
      <c r="AZ126" s="18"/>
      <c r="BA126" s="18"/>
      <c r="BB126" s="18"/>
      <c r="BC126" s="18"/>
      <c r="BD126" s="18"/>
    </row>
    <row r="127" spans="1:56" ht="14.25" customHeight="1">
      <c r="A127" s="33">
        <f t="shared" ca="1" si="218"/>
        <v>119</v>
      </c>
      <c r="B127" s="38" t="s">
        <v>336</v>
      </c>
      <c r="C127" s="38" t="s">
        <v>337</v>
      </c>
      <c r="H127" s="38">
        <v>12</v>
      </c>
      <c r="I127" s="38">
        <v>180</v>
      </c>
      <c r="J127" s="38">
        <v>70</v>
      </c>
      <c r="L127" s="38">
        <v>10</v>
      </c>
      <c r="M127" s="38">
        <v>255</v>
      </c>
      <c r="N127" s="38">
        <v>10</v>
      </c>
      <c r="O127" s="38">
        <v>100</v>
      </c>
      <c r="P127" s="38">
        <v>1</v>
      </c>
      <c r="Q127" s="38" t="s">
        <v>170</v>
      </c>
      <c r="R127" s="38" t="s">
        <v>338</v>
      </c>
      <c r="S127" s="38">
        <v>2</v>
      </c>
      <c r="T127" s="38">
        <f t="shared" ca="1" si="205"/>
        <v>119</v>
      </c>
      <c r="U127" s="15"/>
      <c r="V127" s="2" t="str">
        <f t="shared" ca="1" si="206"/>
        <v>#define EFF_FIREWORK            (119U)    // Фейерверк</v>
      </c>
      <c r="W127" s="2" t="str">
        <f t="shared" ca="1" si="219"/>
        <v>String("119. Фейерверк,10,255,10,100,1;") +</v>
      </c>
      <c r="X127" s="2" t="str">
        <f t="shared" ca="1" si="220"/>
        <v>String("119. ,10,255,10,100,1;") +</v>
      </c>
      <c r="Y127" s="2" t="str">
        <f t="shared" ca="1" si="221"/>
        <v>String("119. ,10,255,10,100,1;") +</v>
      </c>
      <c r="Z127" s="2" t="str">
        <f t="shared" ca="1" si="166"/>
        <v>119;12;180;70;Фейерверк</v>
      </c>
      <c r="AA127" s="2" t="str">
        <f t="shared" ca="1" si="210"/>
        <v xml:space="preserve">        case EFF_FIREWORK:            SOFT_DELAY_TICK { effTimer = millis(); Firework();                   Eff_Tick (); }  break;  // (119U) Фейерверк</v>
      </c>
      <c r="AB127" s="2" t="str">
        <f ca="1">CONCATENATE("{""name"":""",A127,". ",C127,""",""spmin"":",L127,",""spmax"":",M127,",""scmin"":",N127,",""scmax"":",O127,",""type"":",P127,"},")</f>
        <v>{"name":"119. Фейерверк","spmin":10,"spmax":255,"scmin":10,"scmax":100,"type":1},</v>
      </c>
      <c r="AC127" s="4" t="str">
        <f t="shared" ca="1" si="211"/>
        <v>"e119":0,</v>
      </c>
      <c r="AD127" s="4" t="str">
        <f t="shared" ca="1" si="212"/>
        <v>e119=[[e119]]&amp;</v>
      </c>
      <c r="AE127" s="4" t="str">
        <f t="shared" ca="1" si="213"/>
        <v>"e119":2,</v>
      </c>
      <c r="AF127" s="2" t="str">
        <f t="shared" ca="1" si="171"/>
        <v>{"type":"checkbox","class":"checkbox-big","name":"e119","title":"119. Фейерверк","style":"font-size:16px;display:block","state":"{{e119}}"},</v>
      </c>
      <c r="AG127" s="2" t="str">
        <f t="shared" ca="1" si="172"/>
        <v>{"type":"h4","title":"119. Фейерверк","style":"font-size:14px;width:85%;float:left"},{"type":"input","title":"папка","name":"e119","state":"{{e119}}","pattern":"[0-9]{1,2}","style":"background: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7" s="2" t="str">
        <f t="shared" ca="1" si="214"/>
        <v>"119": "119.Фейерверк",</v>
      </c>
      <c r="AI127" s="16"/>
      <c r="AJ127" s="2" t="str">
        <f t="shared" ca="1" si="222"/>
        <v>119. Фейерверк,10,255,10,100,1;</v>
      </c>
      <c r="AK127" s="2" t="str">
        <f t="shared" ca="1" si="175"/>
        <v>119.Фейерверк</v>
      </c>
      <c r="AL127" s="29" t="s">
        <v>434</v>
      </c>
      <c r="AM127" s="2"/>
      <c r="AN127" s="17"/>
      <c r="AO127" s="2"/>
      <c r="AP127" s="2"/>
      <c r="AQ127" s="2"/>
      <c r="AR127" s="2"/>
      <c r="AS127" s="16"/>
      <c r="AT127" s="2"/>
      <c r="AU127" s="2"/>
      <c r="AV127" s="18"/>
      <c r="AW127" s="18"/>
      <c r="AX127" s="18"/>
      <c r="AY127" s="18"/>
      <c r="AZ127" s="18"/>
      <c r="BA127" s="18"/>
      <c r="BB127" s="18"/>
      <c r="BC127" s="18"/>
      <c r="BD127" s="18"/>
    </row>
    <row r="128" spans="1:56" ht="14.25" customHeight="1">
      <c r="A128" s="37">
        <f t="shared" ca="1" si="218"/>
        <v>120</v>
      </c>
      <c r="B128" s="38" t="s">
        <v>339</v>
      </c>
      <c r="C128" s="38" t="s">
        <v>340</v>
      </c>
      <c r="H128" s="41">
        <v>8</v>
      </c>
      <c r="I128" s="38">
        <v>240</v>
      </c>
      <c r="J128" s="38">
        <v>75</v>
      </c>
      <c r="L128" s="38">
        <v>200</v>
      </c>
      <c r="M128" s="38">
        <v>255</v>
      </c>
      <c r="N128" s="38">
        <v>1</v>
      </c>
      <c r="O128" s="38">
        <v>100</v>
      </c>
      <c r="P128" s="38">
        <v>0</v>
      </c>
      <c r="Q128" s="38" t="s">
        <v>39</v>
      </c>
      <c r="R128" s="38" t="s">
        <v>341</v>
      </c>
      <c r="S128" s="38">
        <v>2</v>
      </c>
      <c r="T128" s="41">
        <f t="shared" ca="1" si="205"/>
        <v>120</v>
      </c>
      <c r="U128" s="15"/>
      <c r="V128" s="2" t="str">
        <f t="shared" ca="1" si="206"/>
        <v>#define EFF_FIREWORK_2          (120U)    // Фейерверк 2</v>
      </c>
      <c r="W128" s="2" t="str">
        <f t="shared" ca="1" si="219"/>
        <v>String("120. Фейерверк 2,200,255,1,100,0;") +</v>
      </c>
      <c r="X128" s="2" t="str">
        <f t="shared" ca="1" si="220"/>
        <v>String("120. ,200,255,1,100,0;") +</v>
      </c>
      <c r="Y128" s="2" t="str">
        <f t="shared" ca="1" si="221"/>
        <v>String("120. ,200,255,1,100,0;") +</v>
      </c>
      <c r="Z128" s="2" t="str">
        <f t="shared" ca="1" si="166"/>
        <v>120;8;240;75;Фейерверк 2</v>
      </c>
      <c r="AA128" s="2" t="str">
        <f t="shared" ca="1" si="210"/>
        <v xml:space="preserve">        case EFF_FIREWORK_2:          DYNAMIC_DELAY_TICK { effTimer = millis(); fireworksRoutine();           Eff_Tick (); }  break;  // (120U) Фейерверк 2</v>
      </c>
      <c r="AB128" s="2" t="str">
        <f t="shared" ref="AB128" ca="1" si="223">CONCATENATE("{""name"":""",A128,". ",C128,""",""spmin"":",L128,",""spmax"":",M128,",""scmin"":",N128,",""scmax"":",O128,",""type"":",P128,"}")</f>
        <v>{"name":"120. Фейерверк 2","spmin":200,"spmax":255,"scmin":1,"scmax":100,"type":0}</v>
      </c>
      <c r="AC128" s="4" t="str">
        <f t="shared" ca="1" si="211"/>
        <v>"e120":0,</v>
      </c>
      <c r="AD128" s="4" t="str">
        <f t="shared" ca="1" si="212"/>
        <v>e120=[[e120]]&amp;</v>
      </c>
      <c r="AE128" s="4" t="str">
        <f t="shared" ca="1" si="213"/>
        <v>"e120":2,</v>
      </c>
      <c r="AF128" s="2" t="str">
        <f t="shared" ca="1" si="171"/>
        <v>{"type":"checkbox","class":"checkbox-big","name":"e120","title":"120. Фейерверк 2","style":"font-size:16px;display:block","state":"{{e120}}"},</v>
      </c>
      <c r="AG128" s="2" t="str">
        <f t="shared" ca="1" si="172"/>
        <v>{"type":"h4","title":"120. Фейерверк 2","style":"font-size:14px;width:85%;float:left"},{"type":"input","title":"папка","name":"e120","state":"{{e120}}","pattern":"[0-9]{1,2}","style":"background: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8" s="2" t="str">
        <f t="shared" ca="1" si="214"/>
        <v>"120": "120.Фейерверк 2",</v>
      </c>
      <c r="AI128" s="16"/>
      <c r="AJ128" s="2" t="str">
        <f t="shared" ca="1" si="222"/>
        <v>120. Фейерверк 2,200,255,1,100,0;</v>
      </c>
      <c r="AK128" s="2" t="str">
        <f t="shared" ca="1" si="175"/>
        <v>120.Фейерверк 2</v>
      </c>
      <c r="AL128" s="29" t="s">
        <v>434</v>
      </c>
      <c r="AM128" s="2"/>
      <c r="AN128" s="17"/>
      <c r="AO128" s="2"/>
      <c r="AP128" s="2"/>
      <c r="AQ128" s="2"/>
      <c r="AR128" s="2"/>
      <c r="AS128" s="16"/>
      <c r="AT128" s="2"/>
      <c r="AU128" s="2"/>
      <c r="AV128" s="18"/>
      <c r="AW128" s="18"/>
      <c r="AX128" s="18"/>
      <c r="AY128" s="18"/>
      <c r="AZ128" s="18"/>
      <c r="BA128" s="18"/>
      <c r="BB128" s="18"/>
      <c r="BC128" s="18"/>
      <c r="BD128" s="18"/>
    </row>
    <row r="129" spans="1:56" ht="14.25" customHeight="1">
      <c r="A129" s="33">
        <f t="shared" ca="1" si="218"/>
        <v>121</v>
      </c>
      <c r="B129" s="38" t="s">
        <v>342</v>
      </c>
      <c r="C129" s="38" t="s">
        <v>343</v>
      </c>
      <c r="H129" s="38">
        <v>10</v>
      </c>
      <c r="I129" s="38">
        <v>212</v>
      </c>
      <c r="J129" s="38">
        <v>85</v>
      </c>
      <c r="L129" s="38">
        <v>99</v>
      </c>
      <c r="M129" s="38">
        <v>255</v>
      </c>
      <c r="N129" s="38">
        <v>1</v>
      </c>
      <c r="O129" s="38">
        <v>100</v>
      </c>
      <c r="P129" s="38">
        <v>0</v>
      </c>
      <c r="Q129" s="38" t="s">
        <v>39</v>
      </c>
      <c r="R129" s="38" t="s">
        <v>344</v>
      </c>
      <c r="S129" s="38">
        <v>2</v>
      </c>
      <c r="T129" s="38">
        <f t="shared" ca="1" si="205"/>
        <v>121</v>
      </c>
      <c r="U129" s="15"/>
      <c r="V129" s="2" t="str">
        <f t="shared" ca="1" si="206"/>
        <v>#define EFF_FAIRY               (121U)    // Фея</v>
      </c>
      <c r="W129" s="2" t="str">
        <f t="shared" ca="1" si="219"/>
        <v>String("121. Фея,99,255,1,100,0;") +</v>
      </c>
      <c r="X129" s="2" t="str">
        <f t="shared" ca="1" si="220"/>
        <v>String("121. ,99,255,1,100,0;") +</v>
      </c>
      <c r="Y129" s="2" t="str">
        <f t="shared" ca="1" si="221"/>
        <v>String("121. ,99,255,1,100,0;") +</v>
      </c>
      <c r="Z129" s="2" t="str">
        <f t="shared" ca="1" si="166"/>
        <v>121;10;212;85;Фея</v>
      </c>
      <c r="AA129" s="2" t="str">
        <f t="shared" ca="1" si="210"/>
        <v xml:space="preserve">        case EFF_FAIRY:               DYNAMIC_DELAY_TICK { effTimer = millis(); fairyRoutine();               Eff_Tick (); }  break;  // (121U) Фея</v>
      </c>
      <c r="AB129" s="2" t="str">
        <f t="shared" ref="AB129:AB131" ca="1" si="224">CONCATENATE("{""name"":""",A129,". ",C129,""",""spmin"":",L129,",""spmax"":",M129,",""scmin"":",N129,",""scmax"":",O129,",""type"":",P129,"},")</f>
        <v>{"name":"121. Фея","spmin":99,"spmax":255,"scmin":1,"scmax":100,"type":0},</v>
      </c>
      <c r="AC129" s="4" t="str">
        <f t="shared" ca="1" si="211"/>
        <v>"e121":0,</v>
      </c>
      <c r="AD129" s="4" t="str">
        <f t="shared" ca="1" si="212"/>
        <v>e121=[[e121]]&amp;</v>
      </c>
      <c r="AE129" s="4" t="str">
        <f t="shared" ca="1" si="213"/>
        <v>"e121":2,</v>
      </c>
      <c r="AF129" s="2" t="str">
        <f t="shared" ca="1" si="171"/>
        <v>{"type":"checkbox","class":"checkbox-big","name":"e121","title":"121. Фея","style":"font-size:16px;display:block","state":"{{e121}}"},</v>
      </c>
      <c r="AG129" s="2" t="str">
        <f t="shared" ca="1" si="172"/>
        <v>{"type":"h4","title":"121. Фея","style":"font-size:14px;width:85%;float:left"},{"type":"input","title":"папка","name":"e121","state":"{{e121}}","pattern":"[0-9]{1,2}","style":"background: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29" s="2" t="str">
        <f t="shared" ca="1" si="214"/>
        <v>"121": "121.Фея",</v>
      </c>
      <c r="AI129" s="16"/>
      <c r="AJ129" s="2" t="str">
        <f t="shared" ca="1" si="222"/>
        <v>121. Фея,99,255,1,100,0;</v>
      </c>
      <c r="AK129" s="2" t="str">
        <f t="shared" ca="1" si="175"/>
        <v>121.Фея</v>
      </c>
      <c r="AL129" s="29" t="s">
        <v>434</v>
      </c>
      <c r="AM129" s="2"/>
      <c r="AN129" s="17"/>
      <c r="AO129" s="2"/>
      <c r="AP129" s="2"/>
      <c r="AQ129" s="2"/>
      <c r="AR129" s="2"/>
      <c r="AS129" s="16"/>
      <c r="AT129" s="2"/>
      <c r="AU129" s="2"/>
      <c r="AV129" s="18"/>
      <c r="AW129" s="18"/>
      <c r="AX129" s="18"/>
      <c r="AY129" s="18"/>
      <c r="AZ129" s="18"/>
      <c r="BA129" s="18"/>
      <c r="BB129" s="18"/>
      <c r="BC129" s="18"/>
      <c r="BD129" s="18"/>
    </row>
    <row r="130" spans="1:56">
      <c r="A130" s="33">
        <f t="shared" ca="1" si="218"/>
        <v>122</v>
      </c>
      <c r="B130" s="38" t="s">
        <v>424</v>
      </c>
      <c r="C130" s="38" t="s">
        <v>420</v>
      </c>
      <c r="H130" s="38">
        <v>20</v>
      </c>
      <c r="I130" s="38">
        <v>250</v>
      </c>
      <c r="J130" s="38">
        <v>75</v>
      </c>
      <c r="L130" s="38">
        <v>1</v>
      </c>
      <c r="M130" s="38">
        <v>255</v>
      </c>
      <c r="N130" s="38">
        <v>1</v>
      </c>
      <c r="O130" s="38">
        <v>100</v>
      </c>
      <c r="P130" s="38">
        <v>1</v>
      </c>
      <c r="Q130" s="38" t="s">
        <v>39</v>
      </c>
      <c r="R130" s="38" t="s">
        <v>423</v>
      </c>
      <c r="S130" s="38">
        <v>2</v>
      </c>
      <c r="T130" s="38">
        <f t="shared" ca="1" si="205"/>
        <v>122</v>
      </c>
      <c r="V130" s="2" t="str">
        <f t="shared" ca="1" si="206"/>
        <v>#define EFF_FONTAN              (122U)    // Фонтан</v>
      </c>
      <c r="W130" s="2" t="str">
        <f t="shared" ca="1" si="219"/>
        <v>String("122. Фонтан,1,255,1,100,1;") +</v>
      </c>
      <c r="X130" s="2" t="str">
        <f t="shared" ca="1" si="220"/>
        <v>String("122. ,1,255,1,100,1;") +</v>
      </c>
      <c r="Y130" s="2" t="str">
        <f t="shared" ca="1" si="221"/>
        <v>String("122. ,1,255,1,100,1;") +</v>
      </c>
      <c r="Z130" s="2" t="str">
        <f t="shared" ca="1" si="166"/>
        <v>122;20;250;75;Фонтан</v>
      </c>
      <c r="AA130" s="2" t="str">
        <f t="shared" ca="1" si="210"/>
        <v xml:space="preserve">        case EFF_FONTAN:              DYNAMIC_DELAY_TICK { effTimer = millis(); Fountain();                   Eff_Tick (); }  break;  // (122U) Фонтан</v>
      </c>
      <c r="AB130" s="2" t="str">
        <f t="shared" ca="1" si="224"/>
        <v>{"name":"122. Фонтан","spmin":1,"spmax":255,"scmin":1,"scmax":100,"type":1},</v>
      </c>
      <c r="AC130" s="4" t="str">
        <f t="shared" ca="1" si="211"/>
        <v>"e122":0,</v>
      </c>
      <c r="AD130" s="4" t="str">
        <f t="shared" ca="1" si="212"/>
        <v>e122=[[e122]]&amp;</v>
      </c>
      <c r="AE130" s="4" t="str">
        <f t="shared" ca="1" si="213"/>
        <v>"e122":2,</v>
      </c>
      <c r="AF130" s="2" t="str">
        <f t="shared" ca="1" si="171"/>
        <v>{"type":"checkbox","class":"checkbox-big","name":"e122","title":"122. Фонтан","style":"font-size:16px;display:block","state":"{{e122}}"},</v>
      </c>
      <c r="AG130" s="2" t="str">
        <f t="shared" ca="1" si="172"/>
        <v>{"type":"h4","title":"122. Фонтан","style":"font-size:14px;width:85%;float:left"},{"type":"input","title":"папка","name":"e122","state":"{{e122}}","pattern":"[0-9]{1,2}","style":"background: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0" s="2" t="str">
        <f t="shared" ca="1" si="214"/>
        <v>"122": "122.Фонтан",</v>
      </c>
      <c r="AI130" s="16"/>
      <c r="AJ130" s="2" t="str">
        <f t="shared" ca="1" si="222"/>
        <v>122. Фонтан,1,255,1,100,1;</v>
      </c>
      <c r="AK130" s="2" t="str">
        <f t="shared" ca="1" si="175"/>
        <v>122.Фонтан</v>
      </c>
      <c r="AL130" s="29" t="s">
        <v>434</v>
      </c>
    </row>
    <row r="131" spans="1:56">
      <c r="A131" s="33">
        <f t="shared" ca="1" si="218"/>
        <v>123</v>
      </c>
      <c r="B131" s="38" t="s">
        <v>442</v>
      </c>
      <c r="C131" s="38" t="s">
        <v>438</v>
      </c>
      <c r="H131" s="38">
        <v>10</v>
      </c>
      <c r="I131" s="38">
        <v>55</v>
      </c>
      <c r="J131" s="38">
        <v>13</v>
      </c>
      <c r="L131" s="38">
        <v>25</v>
      </c>
      <c r="M131" s="38">
        <v>85</v>
      </c>
      <c r="N131" s="38">
        <v>20</v>
      </c>
      <c r="O131" s="38">
        <v>100</v>
      </c>
      <c r="P131" s="38">
        <v>0</v>
      </c>
      <c r="Q131" s="38" t="s">
        <v>76</v>
      </c>
      <c r="R131" s="38" t="s">
        <v>445</v>
      </c>
      <c r="S131" s="38">
        <v>2</v>
      </c>
      <c r="T131" s="38">
        <f t="shared" ca="1" si="205"/>
        <v>123</v>
      </c>
      <c r="V131" s="2" t="str">
        <f t="shared" ca="1" si="206"/>
        <v>#define EFF_TRICOLOR            (123U)    // Флаг (Триколор)</v>
      </c>
      <c r="W131" s="2" t="str">
        <f t="shared" ca="1" si="219"/>
        <v>String("123. Флаг (Триколор),25,85,20,100,0;") +</v>
      </c>
      <c r="X131" s="2" t="str">
        <f t="shared" ca="1" si="220"/>
        <v>String("123. ,25,85,20,100,0;") +</v>
      </c>
      <c r="Y131" s="2" t="str">
        <f t="shared" ca="1" si="221"/>
        <v>String("123. ,25,85,20,100,0;") +</v>
      </c>
      <c r="Z131" s="2" t="str">
        <f t="shared" ca="1" si="166"/>
        <v>123;10;55;13;Флаг (Триколор)</v>
      </c>
      <c r="AA131" s="2" t="str">
        <f ca="1">CONCATENATE("        case EFF_",B131,":",REPT(" ",20-LEN(B131)),Q131," { effTimer = millis(); ",R131,REPT(" ",30-LEN(R131)),"Eff_Tick (); }","  break;  // (",REPT(" ",3-LEN(T131)),T131,"U) ",C131)</f>
        <v xml:space="preserve">        case EFF_TRICOLOR:            LOW_DELAY_TICK { effTimer = millis(); FlagRoutine();                Eff_Tick (); }  break;  // (123U) Флаг (Триколор)</v>
      </c>
      <c r="AB131" s="2" t="str">
        <f t="shared" ca="1" si="224"/>
        <v>{"name":"123. Флаг (Триколор)","spmin":25,"spmax":85,"scmin":20,"scmax":100,"type":0},</v>
      </c>
      <c r="AC131" s="4" t="str">
        <f t="shared" ca="1" si="211"/>
        <v>"e123":0,</v>
      </c>
      <c r="AD131" s="4" t="str">
        <f ca="1">CONCATENATE("e",T131,"=[[e",T131,"]]&amp;")</f>
        <v>e123=[[e123]]&amp;</v>
      </c>
      <c r="AE131" s="4" t="str">
        <f t="shared" ca="1" si="213"/>
        <v>"e123":2,</v>
      </c>
      <c r="AF131" s="2" t="str">
        <f t="shared" ref="AF131:AF141" ca="1" si="225">CONCATENATE("{""type"":""checkbox"",""class"":""checkbox-big"",""name"":""e",T131,""",""title"":""",A131,". ",C131,""",""style"":""font-size:16px;display:block"",""state"":""{{e",T131,"}}""},")</f>
        <v>{"type":"checkbox","class":"checkbox-big","name":"e123","title":"123. Флаг (Триколор)","style":"font-size:16px;display:block","state":"{{e123}}"},</v>
      </c>
      <c r="AG131" s="2" t="str">
        <f t="shared" ref="AG131:AG141" ca="1" si="226">CONCATENATE("{""type"":""h4"",""title"":""",A131,". ",C131,""",""style"":""font-size:14px;width:85%;float:left""},{""type"":""input"",""title"":""папка"",""name"":""e",T131,""",""state"":""{{e",T131,"}}"",""pattern"":""[0-9]{1,2}"",""style"":""",AL131,"""},{""type"":""hr""},")</f>
        <v>{"type":"h4","title":"123. Флаг (Триколор)","style":"font-size:14px;width:85%;float:left"},{"type":"input","title":"папка","name":"e123","state":"{{e123}}","pattern":"[0-9]{1,2}","style":"background: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1" s="2" t="str">
        <f t="shared" ca="1" si="214"/>
        <v>"123": "123.Флаг (Триколор)",</v>
      </c>
      <c r="AI131" s="16"/>
      <c r="AJ131" s="2" t="str">
        <f t="shared" ca="1" si="222"/>
        <v>123. Флаг (Триколор),25,85,20,100,0;</v>
      </c>
      <c r="AK131" s="2" t="str">
        <f t="shared" ca="1" si="175"/>
        <v>123.Флаг (Триколор)</v>
      </c>
      <c r="AL131" s="29" t="s">
        <v>434</v>
      </c>
    </row>
    <row r="132" spans="1:56" ht="14.25" customHeight="1">
      <c r="A132" s="33">
        <f t="shared" ref="A132:A140" ca="1" si="227">MAX(OFFSET(A132,-4,0,4,1))+1</f>
        <v>124</v>
      </c>
      <c r="B132" s="38" t="s">
        <v>345</v>
      </c>
      <c r="C132" s="38" t="s">
        <v>346</v>
      </c>
      <c r="H132" s="38">
        <v>10</v>
      </c>
      <c r="I132" s="38">
        <v>240</v>
      </c>
      <c r="J132" s="38">
        <v>65</v>
      </c>
      <c r="L132" s="38">
        <v>1</v>
      </c>
      <c r="M132" s="38">
        <v>255</v>
      </c>
      <c r="N132" s="38">
        <v>1</v>
      </c>
      <c r="O132" s="38">
        <v>100</v>
      </c>
      <c r="P132" s="38">
        <v>0</v>
      </c>
      <c r="Q132" s="38" t="s">
        <v>380</v>
      </c>
      <c r="R132" s="38" t="s">
        <v>347</v>
      </c>
      <c r="S132" s="38">
        <v>2</v>
      </c>
      <c r="T132" s="38">
        <f ca="1">MAX(OFFSET(T132,-4,0,4,1))+1</f>
        <v>124</v>
      </c>
      <c r="U132" s="15"/>
      <c r="V132" s="2" t="str">
        <f ca="1">CONCATENATE("#define EFF_",B132,REPT(" ",20-LEN(B132)),"(",REPT(" ",3-LEN(T132)),T132,"U)    // ",C132)</f>
        <v>#define EFF_COLOR               (124U)    // Цвет</v>
      </c>
      <c r="W132" s="2" t="str">
        <f ca="1">CONCATENATE("String(""",A132,". ",C132,",",L132,",",M132,",",N132,",",O132,",",P132,";"") +")</f>
        <v>String("124. Цвет,1,255,1,100,0;") +</v>
      </c>
      <c r="X132" s="2" t="str">
        <f ca="1">CONCATENATE("String(""",A132,". ",D132,",",L132,",",M132,",",N132,",",O132,",",P132,";"") +")</f>
        <v>String("124. ,1,255,1,100,0;") +</v>
      </c>
      <c r="Y132" s="2" t="str">
        <f ca="1">CONCATENATE("String(""",A132,". ",E132,",",L132,",",M132,",",N132,",",O132,",",P132,";"") +")</f>
        <v>String("124. ,1,255,1,100,0;") +</v>
      </c>
      <c r="Z132" s="2" t="str">
        <f t="shared" ca="1" si="166"/>
        <v>124;10;240;65;Цвет</v>
      </c>
      <c r="AA132" s="2" t="str">
        <f ca="1">CONCATENATE("        case EFF_",B132,":",REPT(" ",20-LEN(B132)),Q132," { effTimer = millis(); ",R132,REPT(" ",30-LEN(R132)),"Eff_Tick (); }","  break;  // (",REPT(" ",3-LEN(T132)),T132,"U) ",C132)</f>
        <v xml:space="preserve">        case EFF_COLOR:               LOW_DELAY_TICK  { effTimer = millis(); colorRoutine();               Eff_Tick (); }  break;  // (124U) Цвет</v>
      </c>
      <c r="AB132" s="2" t="str">
        <f ca="1">CONCATENATE("{""name"":""",A132,". ",C132,""",""spmin"":",L132,",""spmax"":",M132,",""scmin"":",N132,",""scmax"":",O132,",""type"":",P132,"},")</f>
        <v>{"name":"124. Цвет","spmin":1,"spmax":255,"scmin":1,"scmax":100,"type":0},</v>
      </c>
      <c r="AC132" s="4" t="str">
        <f ca="1">CONCATENATE("""","e",T132,"""",":0,")</f>
        <v>"e124":0,</v>
      </c>
      <c r="AD132" s="4" t="str">
        <f ca="1">CONCATENATE("e",T132,"=[[e",T132,"]]&amp;")</f>
        <v>e124=[[e124]]&amp;</v>
      </c>
      <c r="AE132" s="4" t="str">
        <f ca="1">CONCATENATE("""","e",T132,"""",":",S132,",")</f>
        <v>"e124":2,</v>
      </c>
      <c r="AF132" s="2" t="str">
        <f t="shared" ca="1" si="225"/>
        <v>{"type":"checkbox","class":"checkbox-big","name":"e124","title":"124. Цвет","style":"font-size:16px;display:block","state":"{{e124}}"},</v>
      </c>
      <c r="AG132" s="2" t="str">
        <f t="shared" ca="1" si="226"/>
        <v>{"type":"h4","title":"124. Цвет","style":"font-size:14px;width:85%;float:left"},{"type":"input","title":"папка","name":"e124","state":"{{e124}}","pattern":"[0-9]{1,2}","style":"background: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2" s="2" t="str">
        <f ca="1">CONCATENATE("""",A132,"""",": """,A132,".",C132,""",")</f>
        <v>"124": "124.Цвет",</v>
      </c>
      <c r="AI132" s="16"/>
      <c r="AJ132" s="2" t="str">
        <f ca="1">CONCATENATE(A132,". ",C132,",",L132,",",M132,",",N132,",",O132,",",P132,";")</f>
        <v>124. Цвет,1,255,1,100,0;</v>
      </c>
      <c r="AK132" s="2" t="str">
        <f t="shared" ca="1" si="175"/>
        <v>124.Цвет</v>
      </c>
      <c r="AL132" s="29" t="s">
        <v>434</v>
      </c>
      <c r="AM132" s="2"/>
      <c r="AN132" s="17"/>
      <c r="AO132" s="2"/>
      <c r="AP132" s="2"/>
      <c r="AQ132" s="2"/>
      <c r="AR132" s="2"/>
      <c r="AS132" s="16"/>
      <c r="AT132" s="2"/>
      <c r="AU132" s="2"/>
      <c r="AV132" s="18"/>
      <c r="AW132" s="18"/>
      <c r="AX132" s="18"/>
      <c r="AY132" s="18"/>
      <c r="AZ132" s="18"/>
      <c r="BA132" s="18"/>
      <c r="BB132" s="18"/>
      <c r="BC132" s="18"/>
      <c r="BD132" s="18"/>
    </row>
    <row r="133" spans="1:56">
      <c r="A133" s="33">
        <f t="shared" ca="1" si="227"/>
        <v>125</v>
      </c>
      <c r="B133" s="38" t="s">
        <v>384</v>
      </c>
      <c r="C133" s="38" t="s">
        <v>376</v>
      </c>
      <c r="H133" s="38">
        <v>10</v>
      </c>
      <c r="I133" s="38">
        <v>127</v>
      </c>
      <c r="J133" s="38">
        <v>92</v>
      </c>
      <c r="L133" s="38">
        <v>1</v>
      </c>
      <c r="M133" s="38">
        <v>240</v>
      </c>
      <c r="N133" s="38">
        <v>1</v>
      </c>
      <c r="O133" s="38">
        <v>100</v>
      </c>
      <c r="P133" s="38">
        <v>1</v>
      </c>
      <c r="Q133" s="38" t="s">
        <v>76</v>
      </c>
      <c r="R133" s="38" t="s">
        <v>385</v>
      </c>
      <c r="S133" s="38">
        <v>2</v>
      </c>
      <c r="T133" s="38">
        <f t="shared" ref="T133" ca="1" si="228">MAX(OFFSET(T133,-4,0,4,1))+1</f>
        <v>125</v>
      </c>
      <c r="V133" s="2" t="str">
        <f t="shared" ref="V133" ca="1" si="229">CONCATENATE("#define EFF_",B133,REPT(" ",20-LEN(B133)),"(",REPT(" ",3-LEN(T133)),T133,"U)    // ",C133)</f>
        <v>#define EFF_EFF_COLORED_PYTHON  (125U)    // Цветной Питон</v>
      </c>
      <c r="W133" s="2" t="str">
        <f ca="1">CONCATENATE("String(""",A133,". ",C133,",",L133,",",M133,",",N133,",",O133,",",P133,";"") +")</f>
        <v>String("125. Цветной Питон,1,240,1,100,1;") +</v>
      </c>
      <c r="X133" s="2" t="str">
        <f ca="1">CONCATENATE("String(""",A133,". ",D133,",",L133,",",M133,",",N133,",",O133,",",P133,";"") +")</f>
        <v>String("125. ,1,240,1,100,1;") +</v>
      </c>
      <c r="Y133" s="2" t="str">
        <f ca="1">CONCATENATE("String(""",A133,". ",E133,",",L133,",",M133,",",N133,",",O133,",",P133,";"") +")</f>
        <v>String("125. ,1,240,1,100,1;") +</v>
      </c>
      <c r="Z133" s="2" t="str">
        <f t="shared" ca="1" si="166"/>
        <v>125;10;127;92;Цветной Питон</v>
      </c>
      <c r="AA133" s="2" t="str">
        <f t="shared" ref="AA133" ca="1" si="230">CONCATENATE("        case EFF_",B133,":",REPT(" ",20-LEN(B133)),Q133," { effTimer = millis(); ",R133,REPT(" ",30-LEN(R133)),"Eff_Tick (); }","  break;  // (",REPT(" ",3-LEN(T133)),T133,"U) ",C133)</f>
        <v xml:space="preserve">        case EFF_EFF_COLORED_PYTHON : LOW_DELAY_TICK { effTimer = millis(); Colored_Python();             Eff_Tick (); }  break;  // (125U) Цветной Питон</v>
      </c>
      <c r="AB133" s="2" t="str">
        <f ca="1">CONCATENATE("{""name"":""",A133,". ",C133,""",""spmin"":",L133,",""spmax"":",M133,",""scmin"":",N133,",""scmax"":",O133,",""type"":",P133,"},")</f>
        <v>{"name":"125. Цветной Питон","spmin":1,"spmax":240,"scmin":1,"scmax":100,"type":1},</v>
      </c>
      <c r="AC133" s="4" t="str">
        <f t="shared" ref="AC133" ca="1" si="231">CONCATENATE("""","e",T133,"""",":0,")</f>
        <v>"e125":0,</v>
      </c>
      <c r="AD133" s="4" t="str">
        <f t="shared" ref="AD133" ca="1" si="232">CONCATENATE("e",T133,"=[[e",T133,"]]&amp;")</f>
        <v>e125=[[e125]]&amp;</v>
      </c>
      <c r="AE133" s="4" t="str">
        <f t="shared" ref="AE133" ca="1" si="233">CONCATENATE("""","e",T133,"""",":",S133,",")</f>
        <v>"e125":2,</v>
      </c>
      <c r="AF133" s="2" t="str">
        <f t="shared" ca="1" si="225"/>
        <v>{"type":"checkbox","class":"checkbox-big","name":"e125","title":"125. Цветной Питон","style":"font-size:16px;display:block","state":"{{e125}}"},</v>
      </c>
      <c r="AG133" s="2" t="str">
        <f t="shared" ca="1" si="226"/>
        <v>{"type":"h4","title":"125. Цветной Питон","style":"font-size:14px;width:85%;float:left"},{"type":"input","title":"папка","name":"e125","state":"{{e125}}","pattern":"[0-9]{1,2}","style":"background: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3" s="2" t="str">
        <f t="shared" ref="AH133:AH137" ca="1" si="234">CONCATENATE("""",A133,"""",": """,A133,".",C133,""",")</f>
        <v>"125": "125.Цветной Питон",</v>
      </c>
      <c r="AI133" s="16"/>
      <c r="AJ133" s="2" t="str">
        <f ca="1">CONCATENATE(A133,". ",C133,",",L133,",",M133,",",N133,",",O133,",",P133,";")</f>
        <v>125. Цветной Питон,1,240,1,100,1;</v>
      </c>
      <c r="AK133" s="2" t="str">
        <f t="shared" ca="1" si="175"/>
        <v>125.Цветной Питон</v>
      </c>
      <c r="AL133" s="29" t="s">
        <v>434</v>
      </c>
    </row>
    <row r="134" spans="1:56" ht="14.25" customHeight="1">
      <c r="A134" s="33">
        <f t="shared" ca="1" si="227"/>
        <v>126</v>
      </c>
      <c r="B134" s="38" t="s">
        <v>348</v>
      </c>
      <c r="C134" s="56" t="s">
        <v>349</v>
      </c>
      <c r="H134" s="38">
        <v>8</v>
      </c>
      <c r="I134" s="38">
        <v>195</v>
      </c>
      <c r="J134" s="38">
        <v>80</v>
      </c>
      <c r="L134" s="38">
        <v>99</v>
      </c>
      <c r="M134" s="38">
        <v>255</v>
      </c>
      <c r="N134" s="38">
        <v>1</v>
      </c>
      <c r="O134" s="38">
        <v>100</v>
      </c>
      <c r="P134" s="38">
        <v>0</v>
      </c>
      <c r="Q134" s="38" t="s">
        <v>39</v>
      </c>
      <c r="R134" s="38" t="s">
        <v>350</v>
      </c>
      <c r="S134" s="38">
        <v>2</v>
      </c>
      <c r="T134" s="38">
        <f t="shared" ref="T134:T137" ca="1" si="235">MAX(OFFSET(T134,-4,0,4,1))+1</f>
        <v>126</v>
      </c>
      <c r="U134" s="15"/>
      <c r="V134" s="2" t="str">
        <f t="shared" ref="V134:V137" ca="1" si="236">CONCATENATE("#define EFF_",B134,REPT(" ",20-LEN(B134)),"(",REPT(" ",3-LEN(T134)),T134,"U)    // ",C134)</f>
        <v>#define EFF_EFF_SAND            (126U)    // Цветные драже</v>
      </c>
      <c r="W134" s="2" t="str">
        <f t="shared" ref="W134:W137" ca="1" si="237">CONCATENATE("String(""",A134,". ",C134,",",L134,",",M134,",",N134,",",O134,",",P134,";"") +")</f>
        <v>String("126. Цветные драже,99,255,1,100,0;") +</v>
      </c>
      <c r="X134" s="2" t="str">
        <f t="shared" ref="X134:X137" ca="1" si="238">CONCATENATE("String(""",A134,". ",D134,",",L134,",",M134,",",N134,",",O134,",",P134,";"") +")</f>
        <v>String("126. ,99,255,1,100,0;") +</v>
      </c>
      <c r="Y134" s="2" t="str">
        <f t="shared" ref="Y134:Y137" ca="1" si="239">CONCATENATE("String(""",A134,". ",E134,",",L134,",",M134,",",N134,",",O134,",",P134,";"") +")</f>
        <v>String("126. ,99,255,1,100,0;") +</v>
      </c>
      <c r="Z134" s="2" t="str">
        <f t="shared" ca="1" si="166"/>
        <v>126;8;195;80;Цветные драже</v>
      </c>
      <c r="AA134" s="2" t="str">
        <f t="shared" ref="AA134:AA137" ca="1" si="240">CONCATENATE("        case EFF_",B134,":",REPT(" ",20-LEN(B134)),Q134," { effTimer = millis(); ",R134,REPT(" ",30-LEN(R134)),"Eff_Tick (); }","  break;  // (",REPT(" ",3-LEN(T134)),T134,"U) ",C134)</f>
        <v xml:space="preserve">        case EFF_EFF_SAND:            DYNAMIC_DELAY_TICK { effTimer = millis(); sandRoutine();                Eff_Tick (); }  break;  // (126U) Цветные драже</v>
      </c>
      <c r="AB134" s="2" t="str">
        <f t="shared" ref="AB134:AB137" ca="1" si="241">CONCATENATE("{""name"":""",A134,". ",C134,""",""spmin"":",L134,",""spmax"":",M134,",""scmin"":",N134,",""scmax"":",O134,",""type"":",P134,"},")</f>
        <v>{"name":"126. Цветные драже","spmin":99,"spmax":255,"scmin":1,"scmax":100,"type":0},</v>
      </c>
      <c r="AC134" s="4" t="str">
        <f t="shared" ref="AC134:AC137" ca="1" si="242">CONCATENATE("""","e",T134,"""",":0,")</f>
        <v>"e126":0,</v>
      </c>
      <c r="AD134" s="4" t="str">
        <f t="shared" ref="AD134:AD137" ca="1" si="243">CONCATENATE("e",T134,"=[[e",T134,"]]&amp;")</f>
        <v>e126=[[e126]]&amp;</v>
      </c>
      <c r="AE134" s="4" t="str">
        <f t="shared" ref="AE134:AE137" ca="1" si="244">CONCATENATE("""","e",T134,"""",":",S134,",")</f>
        <v>"e126":2,</v>
      </c>
      <c r="AF134" s="2" t="str">
        <f t="shared" ca="1" si="225"/>
        <v>{"type":"checkbox","class":"checkbox-big","name":"e126","title":"126. Цветные драже","style":"font-size:16px;display:block","state":"{{e126}}"},</v>
      </c>
      <c r="AG134" s="2" t="str">
        <f t="shared" ca="1" si="226"/>
        <v>{"type":"h4","title":"126. Цветные драже","style":"font-size:14px;width:85%;float:left"},{"type":"input","title":"папка","name":"e126","state":"{{e126}}","pattern":"[0-9]{1,2}","style":"background: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4" s="2" t="str">
        <f t="shared" ca="1" si="234"/>
        <v>"126": "126.Цветные драже",</v>
      </c>
      <c r="AI134" s="16"/>
      <c r="AJ134" s="2" t="str">
        <f t="shared" ref="AJ134:AJ137" ca="1" si="245">CONCATENATE(A134,". ",C134,",",L134,",",M134,",",N134,",",O134,",",P134,";")</f>
        <v>126. Цветные драже,99,255,1,100,0;</v>
      </c>
      <c r="AK134" s="2" t="str">
        <f t="shared" ca="1" si="175"/>
        <v>126.Цветные драже</v>
      </c>
      <c r="AL134" s="29" t="s">
        <v>434</v>
      </c>
      <c r="AM134" s="2"/>
      <c r="AN134" s="17"/>
      <c r="AO134" s="2"/>
      <c r="AP134" s="2"/>
      <c r="AQ134" s="2"/>
      <c r="AR134" s="2"/>
      <c r="AS134" s="16"/>
      <c r="AT134" s="2"/>
      <c r="AU134" s="2"/>
      <c r="AV134" s="18"/>
      <c r="AW134" s="18"/>
      <c r="AX134" s="18"/>
      <c r="AY134" s="18"/>
      <c r="AZ134" s="18"/>
      <c r="BA134" s="18"/>
      <c r="BB134" s="18"/>
      <c r="BC134" s="18"/>
      <c r="BD134" s="18"/>
    </row>
    <row r="135" spans="1:56" ht="14.25" customHeight="1">
      <c r="A135" s="33">
        <f t="shared" ca="1" si="227"/>
        <v>127</v>
      </c>
      <c r="B135" s="38" t="s">
        <v>351</v>
      </c>
      <c r="C135" s="56" t="s">
        <v>352</v>
      </c>
      <c r="H135" s="38">
        <v>12</v>
      </c>
      <c r="I135" s="38">
        <v>128</v>
      </c>
      <c r="J135" s="38">
        <v>60</v>
      </c>
      <c r="L135" s="38">
        <v>128</v>
      </c>
      <c r="M135" s="38">
        <v>128</v>
      </c>
      <c r="N135" s="38">
        <v>10</v>
      </c>
      <c r="O135" s="38">
        <v>90</v>
      </c>
      <c r="P135" s="38">
        <v>0</v>
      </c>
      <c r="Q135" s="38" t="s">
        <v>170</v>
      </c>
      <c r="R135" s="38" t="s">
        <v>353</v>
      </c>
      <c r="S135" s="38">
        <v>2</v>
      </c>
      <c r="T135" s="38">
        <f t="shared" ca="1" si="235"/>
        <v>127</v>
      </c>
      <c r="U135" s="15"/>
      <c r="V135" s="2" t="str">
        <f t="shared" ca="1" si="236"/>
        <v>#define EFF_COLOR_FRIZZLES      (127U)    // Цветные кудри</v>
      </c>
      <c r="W135" s="2" t="str">
        <f t="shared" ca="1" si="237"/>
        <v>String("127. Цветные кудри,128,128,10,90,0;") +</v>
      </c>
      <c r="X135" s="2" t="str">
        <f t="shared" ca="1" si="238"/>
        <v>String("127. ,128,128,10,90,0;") +</v>
      </c>
      <c r="Y135" s="2" t="str">
        <f t="shared" ca="1" si="239"/>
        <v>String("127. ,128,128,10,90,0;") +</v>
      </c>
      <c r="Z135" s="2" t="str">
        <f t="shared" ca="1" si="166"/>
        <v>127;12;128;60;Цветные кудри</v>
      </c>
      <c r="AA135" s="2" t="str">
        <f t="shared" ca="1" si="240"/>
        <v xml:space="preserve">        case EFF_COLOR_FRIZZLES:      SOFT_DELAY_TICK { effTimer = millis(); ColorFrizzles();              Eff_Tick (); }  break;  // (127U) Цветные кудри</v>
      </c>
      <c r="AB135" s="2" t="str">
        <f t="shared" ca="1" si="241"/>
        <v>{"name":"127. Цветные кудри","spmin":128,"spmax":128,"scmin":10,"scmax":90,"type":0},</v>
      </c>
      <c r="AC135" s="4" t="str">
        <f t="shared" ca="1" si="242"/>
        <v>"e127":0,</v>
      </c>
      <c r="AD135" s="4" t="str">
        <f t="shared" ca="1" si="243"/>
        <v>e127=[[e127]]&amp;</v>
      </c>
      <c r="AE135" s="4" t="str">
        <f t="shared" ca="1" si="244"/>
        <v>"e127":2,</v>
      </c>
      <c r="AF135" s="2" t="str">
        <f t="shared" ca="1" si="225"/>
        <v>{"type":"checkbox","class":"checkbox-big","name":"e127","title":"127. Цветные кудри","style":"font-size:16px;display:block","state":"{{e127}}"},</v>
      </c>
      <c r="AG135" s="2" t="str">
        <f t="shared" ca="1" si="226"/>
        <v>{"type":"h4","title":"127. Цветные кудри","style":"font-size:14px;width:85%;float:left"},{"type":"input","title":"папка","name":"e127","state":"{{e127}}","pattern":"[0-9]{1,2}","style":"background: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5" s="2" t="str">
        <f t="shared" ca="1" si="234"/>
        <v>"127": "127.Цветные кудри",</v>
      </c>
      <c r="AI135" s="16"/>
      <c r="AJ135" s="2" t="str">
        <f t="shared" ca="1" si="245"/>
        <v>127. Цветные кудри,128,128,10,90,0;</v>
      </c>
      <c r="AK135" s="2" t="str">
        <f t="shared" ca="1" si="175"/>
        <v>127.Цветные кудри</v>
      </c>
      <c r="AL135" s="29" t="s">
        <v>434</v>
      </c>
      <c r="AM135" s="2"/>
      <c r="AN135" s="17"/>
      <c r="AO135" s="2"/>
      <c r="AP135" s="2"/>
      <c r="AQ135" s="2"/>
      <c r="AR135" s="2"/>
      <c r="AS135" s="16"/>
      <c r="AT135" s="2"/>
      <c r="AU135" s="2"/>
      <c r="AV135" s="18"/>
      <c r="AW135" s="18"/>
      <c r="AX135" s="18"/>
      <c r="AY135" s="18"/>
      <c r="AZ135" s="18"/>
      <c r="BA135" s="18"/>
      <c r="BB135" s="18"/>
      <c r="BC135" s="18"/>
      <c r="BD135" s="18"/>
    </row>
    <row r="136" spans="1:56" ht="14.25" customHeight="1">
      <c r="A136" s="33">
        <f t="shared" ca="1" si="227"/>
        <v>128</v>
      </c>
      <c r="B136" s="38" t="s">
        <v>354</v>
      </c>
      <c r="C136" s="56" t="s">
        <v>355</v>
      </c>
      <c r="H136" s="38">
        <v>8</v>
      </c>
      <c r="I136" s="38">
        <v>150</v>
      </c>
      <c r="J136" s="38">
        <v>45</v>
      </c>
      <c r="L136" s="38">
        <v>50</v>
      </c>
      <c r="M136" s="38">
        <v>255</v>
      </c>
      <c r="N136" s="38">
        <v>1</v>
      </c>
      <c r="O136" s="38">
        <v>100</v>
      </c>
      <c r="P136" s="38">
        <v>1</v>
      </c>
      <c r="Q136" s="38" t="s">
        <v>39</v>
      </c>
      <c r="R136" s="38" t="s">
        <v>356</v>
      </c>
      <c r="S136" s="38">
        <v>2</v>
      </c>
      <c r="T136" s="38">
        <f t="shared" ca="1" si="235"/>
        <v>128</v>
      </c>
      <c r="U136" s="15"/>
      <c r="V136" s="2" t="str">
        <f t="shared" ca="1" si="236"/>
        <v>#define EFF_EFF_LOTUS           (128U)    // Цветок лотоса</v>
      </c>
      <c r="W136" s="2" t="str">
        <f t="shared" ca="1" si="237"/>
        <v>String("128. Цветок лотоса,50,255,1,100,1;") +</v>
      </c>
      <c r="X136" s="2" t="str">
        <f t="shared" ca="1" si="238"/>
        <v>String("128. ,50,255,1,100,1;") +</v>
      </c>
      <c r="Y136" s="2" t="str">
        <f t="shared" ca="1" si="239"/>
        <v>String("128. ,50,255,1,100,1;") +</v>
      </c>
      <c r="Z136" s="2" t="str">
        <f t="shared" ca="1" si="166"/>
        <v>128;8;150;45;Цветок лотоса</v>
      </c>
      <c r="AA136" s="2" t="str">
        <f t="shared" ca="1" si="240"/>
        <v xml:space="preserve">        case EFF_EFF_LOTUS:           DYNAMIC_DELAY_TICK { effTimer = millis(); LotusFlower();                Eff_Tick (); }  break;  // (128U) Цветок лотоса</v>
      </c>
      <c r="AB136" s="2" t="str">
        <f t="shared" ca="1" si="241"/>
        <v>{"name":"128. Цветок лотоса","spmin":50,"spmax":255,"scmin":1,"scmax":100,"type":1},</v>
      </c>
      <c r="AC136" s="4" t="str">
        <f t="shared" ca="1" si="242"/>
        <v>"e128":0,</v>
      </c>
      <c r="AD136" s="4" t="str">
        <f t="shared" ca="1" si="243"/>
        <v>e128=[[e128]]&amp;</v>
      </c>
      <c r="AE136" s="4" t="str">
        <f t="shared" ca="1" si="244"/>
        <v>"e128":2,</v>
      </c>
      <c r="AF136" s="2" t="str">
        <f t="shared" ca="1" si="225"/>
        <v>{"type":"checkbox","class":"checkbox-big","name":"e128","title":"128. Цветок лотоса","style":"font-size:16px;display:block","state":"{{e128}}"},</v>
      </c>
      <c r="AG136" s="2" t="str">
        <f t="shared" ca="1" si="226"/>
        <v>{"type":"h4","title":"128. Цветок лотоса","style":"font-size:14px;width:85%;float:left"},{"type":"input","title":"папка","name":"e128","state":"{{e128}}","pattern":"[0-9]{1,2}","style":"background: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6" s="2" t="str">
        <f t="shared" ca="1" si="234"/>
        <v>"128": "128.Цветок лотоса",</v>
      </c>
      <c r="AI136" s="16"/>
      <c r="AJ136" s="2" t="str">
        <f t="shared" ca="1" si="245"/>
        <v>128. Цветок лотоса,50,255,1,100,1;</v>
      </c>
      <c r="AK136" s="2" t="str">
        <f t="shared" ca="1" si="175"/>
        <v>128.Цветок лотоса</v>
      </c>
      <c r="AL136" s="29" t="s">
        <v>434</v>
      </c>
      <c r="AM136" s="2"/>
      <c r="AN136" s="17"/>
      <c r="AO136" s="2"/>
      <c r="AP136" s="2"/>
      <c r="AQ136" s="2"/>
      <c r="AR136" s="2"/>
      <c r="AS136" s="16"/>
      <c r="AT136" s="2"/>
      <c r="AU136" s="2"/>
      <c r="AV136" s="18"/>
      <c r="AW136" s="18"/>
      <c r="AX136" s="18"/>
      <c r="AY136" s="18"/>
      <c r="AZ136" s="18"/>
      <c r="BA136" s="18"/>
      <c r="BB136" s="18"/>
      <c r="BC136" s="18"/>
      <c r="BD136" s="18"/>
    </row>
    <row r="137" spans="1:56">
      <c r="A137" s="33">
        <f t="shared" ca="1" si="227"/>
        <v>129</v>
      </c>
      <c r="B137" s="38" t="s">
        <v>404</v>
      </c>
      <c r="C137" s="56" t="s">
        <v>405</v>
      </c>
      <c r="H137" s="38">
        <v>8</v>
      </c>
      <c r="I137" s="38">
        <v>215</v>
      </c>
      <c r="J137" s="38">
        <v>35</v>
      </c>
      <c r="L137" s="38">
        <v>1</v>
      </c>
      <c r="M137" s="38">
        <v>255</v>
      </c>
      <c r="N137" s="38">
        <v>1</v>
      </c>
      <c r="O137" s="38">
        <v>100</v>
      </c>
      <c r="P137" s="38">
        <v>0</v>
      </c>
      <c r="Q137" s="38" t="s">
        <v>39</v>
      </c>
      <c r="R137" s="38" t="s">
        <v>406</v>
      </c>
      <c r="S137" s="38">
        <v>2</v>
      </c>
      <c r="T137" s="38">
        <f t="shared" ca="1" si="235"/>
        <v>129</v>
      </c>
      <c r="V137" s="2" t="str">
        <f t="shared" ca="1" si="236"/>
        <v>#define EFF_TURBULENCE          (129U)    // Цифровая турбулентность</v>
      </c>
      <c r="W137" s="2" t="str">
        <f t="shared" ca="1" si="237"/>
        <v>String("129. Цифровая турбулентность,1,255,1,100,0;") +</v>
      </c>
      <c r="X137" s="2" t="str">
        <f t="shared" ca="1" si="238"/>
        <v>String("129. ,1,255,1,100,0;") +</v>
      </c>
      <c r="Y137" s="2" t="str">
        <f t="shared" ca="1" si="239"/>
        <v>String("129. ,1,255,1,100,0;") +</v>
      </c>
      <c r="Z137" s="2" t="str">
        <f t="shared" ca="1" si="166"/>
        <v>129;8;215;35;Цифровая турбулентность</v>
      </c>
      <c r="AA137" s="2" t="str">
        <f t="shared" ca="1" si="240"/>
        <v xml:space="preserve">        case EFF_TURBULENCE:          DYNAMIC_DELAY_TICK { effTimer = millis(); Turbulence();                 Eff_Tick (); }  break;  // (129U) Цифровая турбулентность</v>
      </c>
      <c r="AB137" s="2" t="str">
        <f t="shared" ca="1" si="241"/>
        <v>{"name":"129. Цифровая турбулентность","spmin":1,"spmax":255,"scmin":1,"scmax":100,"type":0},</v>
      </c>
      <c r="AC137" s="4" t="str">
        <f t="shared" ca="1" si="242"/>
        <v>"e129":0,</v>
      </c>
      <c r="AD137" s="4" t="str">
        <f t="shared" ca="1" si="243"/>
        <v>e129=[[e129]]&amp;</v>
      </c>
      <c r="AE137" s="4" t="str">
        <f t="shared" ca="1" si="244"/>
        <v>"e129":2,</v>
      </c>
      <c r="AF137" s="2" t="str">
        <f t="shared" ca="1" si="225"/>
        <v>{"type":"checkbox","class":"checkbox-big","name":"e129","title":"129. Цифровая турбулентность","style":"font-size:16px;display:block","state":"{{e129}}"},</v>
      </c>
      <c r="AG137" s="2" t="str">
        <f t="shared" ca="1" si="226"/>
        <v>{"type":"h4","title":"129. Цифровая турбулентность","style":"font-size:14px;width:85%;float:left"},{"type":"input","title":"папка","name":"e129","state":"{{e129}}","pattern":"[0-9]{1,2}","style":"background: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7" s="2" t="str">
        <f t="shared" ca="1" si="234"/>
        <v>"129": "129.Цифровая турбулентность",</v>
      </c>
      <c r="AI137" s="16"/>
      <c r="AJ137" s="2" t="str">
        <f t="shared" ca="1" si="245"/>
        <v>129. Цифровая турбулентность,1,255,1,100,0;</v>
      </c>
      <c r="AK137" s="2" t="str">
        <f t="shared" ca="1" si="175"/>
        <v>129.Цифровая турбулентность</v>
      </c>
      <c r="AL137" s="29" t="s">
        <v>434</v>
      </c>
    </row>
    <row r="138" spans="1:56" ht="14.25" customHeight="1">
      <c r="A138" s="33">
        <f t="shared" ca="1" si="227"/>
        <v>130</v>
      </c>
      <c r="B138" s="38" t="s">
        <v>357</v>
      </c>
      <c r="C138" s="56" t="s">
        <v>358</v>
      </c>
      <c r="H138" s="38">
        <v>10</v>
      </c>
      <c r="I138" s="38">
        <v>50</v>
      </c>
      <c r="J138" s="38">
        <v>5</v>
      </c>
      <c r="L138" s="38">
        <v>1</v>
      </c>
      <c r="M138" s="38">
        <v>255</v>
      </c>
      <c r="N138" s="38">
        <v>1</v>
      </c>
      <c r="O138" s="38">
        <v>100</v>
      </c>
      <c r="P138" s="38">
        <v>0</v>
      </c>
      <c r="Q138" s="38" t="s">
        <v>76</v>
      </c>
      <c r="R138" s="38" t="s">
        <v>359</v>
      </c>
      <c r="S138" s="38">
        <v>2</v>
      </c>
      <c r="T138" s="38">
        <f ca="1">MAX(OFFSET(T138,-4,0,4,1))+1</f>
        <v>130</v>
      </c>
      <c r="U138" s="15"/>
      <c r="V138" s="2" t="str">
        <f ca="1">CONCATENATE("#define EFF_",B138,REPT(" ",20-LEN(B138)),"(",REPT(" ",3-LEN(T138)),T138,"U)    // ",C138)</f>
        <v>#define EFF_SPHERES             (130U)    // Шapы</v>
      </c>
      <c r="W138" s="2" t="str">
        <f ca="1">CONCATENATE("String(""",A138,". ",C138,",",L138,",",M138,",",N138,",",O138,",",P138,";"") +")</f>
        <v>String("130. Шapы,1,255,1,100,0;") +</v>
      </c>
      <c r="X138" s="2" t="str">
        <f ca="1">CONCATENATE("String(""",A138,". ",D138,",",L138,",",M138,",",N138,",",O138,",",P138,";"") +")</f>
        <v>String("130. ,1,255,1,100,0;") +</v>
      </c>
      <c r="Y138" s="2" t="str">
        <f ca="1">CONCATENATE("String(""",A138,". ",E138,",",L138,",",M138,",",N138,",",O138,",",P138,";"") +")</f>
        <v>String("130. ,1,255,1,100,0;") +</v>
      </c>
      <c r="Z138" s="2" t="str">
        <f t="shared" ca="1" si="166"/>
        <v>130;10;50;5;Шapы</v>
      </c>
      <c r="AA138" s="2" t="str">
        <f ca="1">CONCATENATE("        case EFF_",B138,":",REPT(" ",20-LEN(B138)),Q138," { effTimer = millis(); ",R138,REPT(" ",30-LEN(R138)),"Eff_Tick (); }","  break;  // (",REPT(" ",3-LEN(T138)),T138,"U) ",C138)</f>
        <v xml:space="preserve">        case EFF_SPHERES:             LOW_DELAY_TICK { effTimer = millis(); spheresRoutine();             Eff_Tick (); }  break;  // (130U) Шapы</v>
      </c>
      <c r="AB138" s="2" t="str">
        <f ca="1">CONCATENATE("{""name"":""",A138,". ",C138,""",""spmin"":",L138,",""spmax"":",M138,",""scmin"":",N138,",""scmax"":",O138,",""type"":",P138,"},")</f>
        <v>{"name":"130. Шapы","spmin":1,"spmax":255,"scmin":1,"scmax":100,"type":0},</v>
      </c>
      <c r="AC138" s="4" t="str">
        <f ca="1">CONCATENATE("""","e",T138,"""",":0,")</f>
        <v>"e130":0,</v>
      </c>
      <c r="AD138" s="4" t="str">
        <f ca="1">CONCATENATE("e",T138,"=[[e",T138,"]]&amp;")</f>
        <v>e130=[[e130]]&amp;</v>
      </c>
      <c r="AE138" s="4" t="str">
        <f ca="1">CONCATENATE("""","e",T138,"""",":",S138,",")</f>
        <v>"e130":2,</v>
      </c>
      <c r="AF138" s="2" t="str">
        <f t="shared" ca="1" si="225"/>
        <v>{"type":"checkbox","class":"checkbox-big","name":"e130","title":"130. Шapы","style":"font-size:16px;display:block","state":"{{e130}}"},</v>
      </c>
      <c r="AG138" s="2" t="str">
        <f t="shared" ca="1" si="226"/>
        <v>{"type":"h4","title":"130. Шapы","style":"font-size:14px;width:85%;float:left"},{"type":"input","title":"папка","name":"e130","state":"{{e130}}","pattern":"[0-9]{1,2}","style":"background: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8" s="2" t="str">
        <f ca="1">CONCATENATE("""",A138,"""",": """,A138,".",C138,""",")</f>
        <v>"130": "130.Шapы",</v>
      </c>
      <c r="AI138" s="16"/>
      <c r="AJ138" s="2" t="str">
        <f ca="1">CONCATENATE(A138,". ",C138,",",L138,",",M138,",",N138,",",O138,",",P138,";")</f>
        <v>130. Шapы,1,255,1,100,0;</v>
      </c>
      <c r="AK138" s="2" t="str">
        <f t="shared" ca="1" si="175"/>
        <v>130.Шapы</v>
      </c>
      <c r="AL138" s="29" t="s">
        <v>434</v>
      </c>
      <c r="AM138" s="2"/>
      <c r="AN138" s="17"/>
      <c r="AO138" s="2"/>
      <c r="AP138" s="2"/>
      <c r="AQ138" s="2"/>
      <c r="AR138" s="2"/>
      <c r="AS138" s="16"/>
      <c r="AT138" s="2"/>
      <c r="AU138" s="2"/>
      <c r="AV138" s="18"/>
      <c r="AW138" s="18"/>
      <c r="AX138" s="18"/>
      <c r="AY138" s="18"/>
      <c r="AZ138" s="18"/>
      <c r="BA138" s="18"/>
      <c r="BB138" s="18"/>
      <c r="BC138" s="18"/>
      <c r="BD138" s="18"/>
    </row>
    <row r="139" spans="1:56" ht="14.25" customHeight="1">
      <c r="A139" s="33">
        <f t="shared" ca="1" si="227"/>
        <v>131</v>
      </c>
      <c r="B139" s="38" t="s">
        <v>360</v>
      </c>
      <c r="C139" s="56" t="s">
        <v>361</v>
      </c>
      <c r="H139" s="38">
        <v>12</v>
      </c>
      <c r="I139" s="38">
        <v>85</v>
      </c>
      <c r="J139" s="38">
        <v>20</v>
      </c>
      <c r="L139" s="38">
        <v>1</v>
      </c>
      <c r="M139" s="38">
        <v>255</v>
      </c>
      <c r="N139" s="38">
        <v>1</v>
      </c>
      <c r="O139" s="38">
        <v>100</v>
      </c>
      <c r="P139" s="38">
        <v>0</v>
      </c>
      <c r="Q139" s="38" t="s">
        <v>76</v>
      </c>
      <c r="R139" s="38" t="s">
        <v>362</v>
      </c>
      <c r="S139" s="38">
        <v>2</v>
      </c>
      <c r="T139" s="38">
        <f ca="1">MAX(OFFSET(T139,-4,0,4,1))+1</f>
        <v>131</v>
      </c>
      <c r="U139" s="15"/>
      <c r="V139" s="2" t="str">
        <f ca="1">CONCATENATE("#define EFF_",B139,REPT(" ",20-LEN(B139)),"(",REPT(" ",3-LEN(T139)),T139,"U)    // ",C139)</f>
        <v>#define EFF_NEXUS               (131U)    // Nexus</v>
      </c>
      <c r="W139" s="2" t="str">
        <f ca="1">CONCATENATE("String(""",A139,". ",C139,",",L139,",",M139,",",N139,",",O139,",",P139,";"") +")</f>
        <v>String("131. Nexus,1,255,1,100,0;") +</v>
      </c>
      <c r="X139" s="2" t="str">
        <f ca="1">CONCATENATE("String(""",A139,". ",D139,",",L139,",",M139,",",N139,",",O139,",",P139,";"") +")</f>
        <v>String("131. ,1,255,1,100,0;") +</v>
      </c>
      <c r="Y139" s="2" t="str">
        <f ca="1">CONCATENATE("String(""",A139,". ",E139,",",L139,",",M139,",",N139,",",O139,",",P139,";"") +")</f>
        <v>String("131. ,1,255,1,100,0;") +</v>
      </c>
      <c r="Z139" s="2" t="str">
        <f t="shared" ca="1" si="166"/>
        <v>131;12;85;20;Nexus</v>
      </c>
      <c r="AA139" s="2" t="str">
        <f ca="1">CONCATENATE("        case EFF_",B139,":",REPT(" ",20-LEN(B139)),Q139," { effTimer = millis(); ",R139,REPT(" ",30-LEN(R139)),"Eff_Tick (); }","  break;  // (",REPT(" ",3-LEN(T139)),T139,"U) ",C139)</f>
        <v xml:space="preserve">        case EFF_NEXUS:               LOW_DELAY_TICK { effTimer = millis(); nexusRoutine();               Eff_Tick (); }  break;  // (131U) Nexus</v>
      </c>
      <c r="AB139" s="2" t="str">
        <f ca="1">CONCATENATE("{""name"":""",A139,". ",C139,""",""spmin"":",L139,",""spmax"":",M139,",""scmin"":",N139,",""scmax"":",O139,",""type"":",P139,"},")</f>
        <v>{"name":"131. Nexus","spmin":1,"spmax":255,"scmin":1,"scmax":100,"type":0},</v>
      </c>
      <c r="AC139" s="4" t="str">
        <f ca="1">CONCATENATE("""","e",T139,"""",":0,")</f>
        <v>"e131":0,</v>
      </c>
      <c r="AD139" s="4" t="str">
        <f ca="1">CONCATENATE("e",T139,"=[[e",T139,"]]&amp;")</f>
        <v>e131=[[e131]]&amp;</v>
      </c>
      <c r="AE139" s="4" t="str">
        <f ca="1">CONCATENATE("""","e",T139,"""",":",S139,",")</f>
        <v>"e131":2,</v>
      </c>
      <c r="AF139" s="2" t="str">
        <f t="shared" ca="1" si="225"/>
        <v>{"type":"checkbox","class":"checkbox-big","name":"e131","title":"131. Nexus","style":"font-size:16px;display:block","state":"{{e131}}"},</v>
      </c>
      <c r="AG139" s="2" t="str">
        <f t="shared" ca="1" si="226"/>
        <v>{"type":"h4","title":"131. Nexus","style":"font-size:14px;width:85%;float:left"},{"type":"input","title":"папка","name":"e131","state":"{{e131}}","pattern":"[0-9]{1,2}","style":"background: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39" s="2" t="str">
        <f ca="1">CONCATENATE("""",A139,"""",": """,A139,".",C139,""",")</f>
        <v>"131": "131.Nexus",</v>
      </c>
      <c r="AI139" s="16"/>
      <c r="AJ139" s="2" t="str">
        <f ca="1">CONCATENATE(A139,". ",C139,",",L139,",",M139,",",N139,",",O139,",",P139,";")</f>
        <v>131. Nexus,1,255,1,100,0;</v>
      </c>
      <c r="AK139" s="2" t="str">
        <f t="shared" ca="1" si="175"/>
        <v>131.Nexus</v>
      </c>
      <c r="AL139" s="29" t="s">
        <v>434</v>
      </c>
      <c r="AM139" s="2"/>
      <c r="AN139" s="17"/>
      <c r="AO139" s="2"/>
      <c r="AP139" s="2"/>
      <c r="AQ139" s="2"/>
      <c r="AR139" s="2"/>
      <c r="AS139" s="16"/>
      <c r="AT139" s="2"/>
      <c r="AU139" s="2"/>
      <c r="AV139" s="18"/>
      <c r="AW139" s="18"/>
      <c r="AX139" s="18"/>
      <c r="AY139" s="18"/>
      <c r="AZ139" s="18"/>
      <c r="BA139" s="18"/>
      <c r="BB139" s="18"/>
      <c r="BC139" s="18"/>
      <c r="BD139" s="18"/>
    </row>
    <row r="140" spans="1:56">
      <c r="A140" s="33">
        <f t="shared" ca="1" si="227"/>
        <v>132</v>
      </c>
      <c r="B140" s="38" t="s">
        <v>443</v>
      </c>
      <c r="C140" s="56" t="s">
        <v>439</v>
      </c>
      <c r="H140" s="38">
        <v>80</v>
      </c>
      <c r="I140" s="38">
        <v>5</v>
      </c>
      <c r="J140" s="38">
        <v>65</v>
      </c>
      <c r="L140" s="38">
        <v>1</v>
      </c>
      <c r="M140" s="38">
        <v>255</v>
      </c>
      <c r="N140" s="38">
        <v>1</v>
      </c>
      <c r="O140" s="38">
        <v>100</v>
      </c>
      <c r="P140" s="38">
        <v>0</v>
      </c>
      <c r="Q140" s="38" t="s">
        <v>76</v>
      </c>
      <c r="R140" s="38" t="s">
        <v>444</v>
      </c>
      <c r="S140" s="38">
        <v>2</v>
      </c>
      <c r="T140" s="38">
        <f ca="1">MAX(OFFSET(T140,-4,0,4,1))+1</f>
        <v>132</v>
      </c>
      <c r="V140" s="2" t="str">
        <f t="shared" ref="V140" ca="1" si="246">CONCATENATE("#define EFF_",B140,REPT(" ",20-LEN(B140)),"(",REPT(" ",3-LEN(T140)),T140,"U)    // ",C140)</f>
        <v>#define EFF_EFF_COLOR_FADED     (132U)    // Цвет с затуханием</v>
      </c>
      <c r="W140" s="2" t="str">
        <f ca="1">CONCATENATE("String(""",A140,". ",C140,",",L140,",",M140,",",N140,",",O140,",",P140,";"") +")</f>
        <v>String("132. Цвет с затуханием,1,255,1,100,0;") +</v>
      </c>
      <c r="X140" s="2" t="str">
        <f ca="1">CONCATENATE("String(""",A140,". ",D140,",",L140,",",M140,",",N140,",",O140,",",P140,";"") +")</f>
        <v>String("132. ,1,255,1,100,0;") +</v>
      </c>
      <c r="Y140" s="2" t="str">
        <f ca="1">CONCATENATE("String(""",A140,". ",E140,",",L140,",",M140,",",N140,",",O140,",",P140,";"") +")</f>
        <v>String("132. ,1,255,1,100,0;") +</v>
      </c>
      <c r="Z140" s="2" t="str">
        <f t="shared" ca="1" si="166"/>
        <v>132;80;5;65;Цвет с затуханием</v>
      </c>
      <c r="AA140" s="2" t="str">
        <f ca="1">CONCATENATE("        case EFF_",B140,":",REPT(" ",20-LEN(B140)),Q140," { effTimer = millis(); ",R140,REPT(" ",30-LEN(R140)),"Eff_Tick (); }","  break;  // (",REPT(" ",3-LEN(T140)),T140,"U) ",C140)</f>
        <v xml:space="preserve">        case EFF_EFF_COLOR_FADED:     LOW_DELAY_TICK { effTimer = millis(); colorFaded();                 Eff_Tick (); }  break;  // (132U) Цвет с затуханием</v>
      </c>
      <c r="AB140" s="2" t="str">
        <f ca="1">CONCATENATE("{""name"":""",A140,". ",C140,""",""spmin"":",L140,",""spmax"":",M140,",""scmin"":",N140,",""scmax"":",O140,",""type"":",P140,"},")</f>
        <v>{"name":"132. Цвет с затуханием","spmin":1,"spmax":255,"scmin":1,"scmax":100,"type":0},</v>
      </c>
      <c r="AC140" s="4" t="str">
        <f t="shared" ref="AC140" ca="1" si="247">CONCATENATE("""","e",T140,"""",":0,")</f>
        <v>"e132":0,</v>
      </c>
      <c r="AD140" s="4" t="str">
        <f ca="1">CONCATENATE("e",T140,"=[[e",T140,"]]&amp;")</f>
        <v>e132=[[e132]]&amp;</v>
      </c>
      <c r="AE140" s="4" t="str">
        <f ca="1">CONCATENATE("""","e",T140,"""",":",S140,",")</f>
        <v>"e132":2,</v>
      </c>
      <c r="AF140" s="2" t="str">
        <f t="shared" ca="1" si="225"/>
        <v>{"type":"checkbox","class":"checkbox-big","name":"e132","title":"132. Цвет с затуханием","style":"font-size:16px;display:block","state":"{{e132}}"},</v>
      </c>
      <c r="AG140" s="2" t="str">
        <f t="shared" ca="1" si="226"/>
        <v>{"type":"h4","title":"132. Цвет с затуханием","style":"font-size:14px;width:85%;float:left"},{"type":"input","title":"папка","name":"e132","state":"{{e132}}","pattern":"[0-9]{1,2}","style":"background: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40" s="2" t="str">
        <f t="shared" ref="AH140" ca="1" si="248">CONCATENATE("""",A140,"""",": """,A140,".",C140,""",")</f>
        <v>"132": "132.Цвет с затуханием",</v>
      </c>
      <c r="AI140" s="16"/>
      <c r="AJ140" s="2" t="str">
        <f ca="1">CONCATENATE(A140,". ",C140,",",L140,",",M140,",",N140,",",O140,",",P140,";")</f>
        <v>132. Цвет с затуханием,1,255,1,100,0;</v>
      </c>
      <c r="AK140" s="2" t="str">
        <f t="shared" ca="1" si="175"/>
        <v>132.Цвет с затуханием</v>
      </c>
      <c r="AL140" s="29" t="s">
        <v>434</v>
      </c>
    </row>
    <row r="141" spans="1:56" ht="14.25" customHeight="1">
      <c r="A141" s="33">
        <f ca="1">MAX(OFFSET(A141,-4,0,4,1))+1</f>
        <v>133</v>
      </c>
      <c r="B141" s="38" t="s">
        <v>363</v>
      </c>
      <c r="C141" s="56" t="s">
        <v>364</v>
      </c>
      <c r="H141" s="38">
        <v>15</v>
      </c>
      <c r="I141" s="38">
        <v>214</v>
      </c>
      <c r="J141" s="38">
        <v>80</v>
      </c>
      <c r="L141" s="38">
        <v>1</v>
      </c>
      <c r="M141" s="38">
        <v>255</v>
      </c>
      <c r="N141" s="38">
        <v>1</v>
      </c>
      <c r="O141" s="38">
        <v>100</v>
      </c>
      <c r="P141" s="38">
        <v>0</v>
      </c>
      <c r="Q141" s="38" t="s">
        <v>39</v>
      </c>
      <c r="R141" s="38" t="s">
        <v>365</v>
      </c>
      <c r="S141" s="38">
        <v>11</v>
      </c>
      <c r="T141" s="38">
        <f ca="1">MAX(OFFSET(T141,-4,0,4,1))+1</f>
        <v>133</v>
      </c>
      <c r="U141" s="15"/>
      <c r="V141" s="2" t="str">
        <f ca="1">CONCATENATE("#define EFF_",B141,REPT(" ",20-LEN(B141)),"(",REPT(" ",3-LEN(T141)),T141,"U)    // ",C141)</f>
        <v>#define EFF_CLOCK               (133U)    // Часы</v>
      </c>
      <c r="W141" s="2" t="str">
        <f ca="1">CONCATENATE("String(""",A141,". ",C141,",",L141,",",M141,",",N141,",",O141,",",P141,";"") +")</f>
        <v>String("133. Часы,1,255,1,100,0;") +</v>
      </c>
      <c r="X141" s="2" t="str">
        <f ca="1">CONCATENATE("String(""",A141,". ",D141,",",L141,",",M141,",",N141,",",O141,",",P141,";"") +")</f>
        <v>String("133. ,1,255,1,100,0;") +</v>
      </c>
      <c r="Y141" s="2" t="str">
        <f ca="1">CONCATENATE("String(""",A141,". ",E141,",",L141,",",M141,",",N141,",",O141,",",P141,";"") +")</f>
        <v>String("133. ,1,255,1,100,0;") +</v>
      </c>
      <c r="Z141" s="2" t="str">
        <f t="shared" ca="1" si="166"/>
        <v>133;15;214;80;Часы</v>
      </c>
      <c r="AA141" s="2" t="str">
        <f ca="1">CONCATENATE("        case EFF_",B141,":",REPT(" ",20-LEN(B141)),Q141," { effTimer = millis(); ",R141,REPT(" ",30-LEN(R141)),"Eff_Tick (); }","  break;  // (",REPT(" ",3-LEN(T141)),T141,"U) ",C141)</f>
        <v xml:space="preserve">        case EFF_CLOCK:               DYNAMIC_DELAY_TICK { effTimer = millis(); clockRoutine();               Eff_Tick (); }  break;  // (133U) Часы</v>
      </c>
      <c r="AB141" s="2" t="str">
        <f ca="1">CONCATENATE("{""name"":""",A141,". ",C141,""",""spmin"":",L141,",""spmax"":",M141,",""scmin"":",N141,",""scmax"":",O141,",""type"":",P141,"},")</f>
        <v>{"name":"133. Часы","spmin":1,"spmax":255,"scmin":1,"scmax":100,"type":0},</v>
      </c>
      <c r="AC141" s="4" t="str">
        <f ca="1">CONCATENATE("""","e",T141,"""",":0")</f>
        <v>"e133":0</v>
      </c>
      <c r="AD141" s="4" t="str">
        <f ca="1">CONCATENATE("e",T141,"=[[e",T141,"]]")</f>
        <v>e133=[[e133]]</v>
      </c>
      <c r="AE141" s="4" t="str">
        <f ca="1">CONCATENATE("""","e",T141,"""",":",S141,"")</f>
        <v>"e133":11</v>
      </c>
      <c r="AF141" s="2" t="str">
        <f t="shared" ca="1" si="225"/>
        <v>{"type":"checkbox","class":"checkbox-big","name":"e133","title":"133. Часы","style":"font-size:16px;display:block","state":"{{e133}}"},</v>
      </c>
      <c r="AG141" s="2" t="str">
        <f t="shared" ca="1" si="226"/>
        <v>{"type":"h4","title":"133. Часы","style":"font-size:14px;width:85%;float:left"},{"type":"input","title":"папка","name":"e133","state":"{{e133}}","pattern":"[0-9]{1,2}","style":"background: #1c1c1c;border-color: #ffffff3d;border-style:solidborder-style: none;background: rgba(0, 0, 0, 0);color:#16d3f2;text-shadow: #16d3f2 1px 0 10px;height: 30px;width:15%;border-radius:8px;text-align:center"},{"type":"hr"},</v>
      </c>
      <c r="AH141" s="2" t="str">
        <f ca="1">CONCATENATE("""",A141,"""",": """,A141,".",C141,"""")</f>
        <v>"133": "133.Часы"</v>
      </c>
      <c r="AI141" s="16"/>
      <c r="AJ141" s="2" t="str">
        <f ca="1">CONCATENATE(A141,". ",C141,",",L141,",",M141,",",N141,",",O141,",",P141,";")</f>
        <v>133. Часы,1,255,1,100,0;</v>
      </c>
      <c r="AK141" s="2" t="str">
        <f t="shared" ca="1" si="175"/>
        <v>133.Часы</v>
      </c>
      <c r="AL141" s="29" t="s">
        <v>434</v>
      </c>
      <c r="AM141" s="2"/>
      <c r="AN141" s="17"/>
      <c r="AO141" s="2"/>
      <c r="AP141" s="2"/>
      <c r="AQ141" s="2"/>
      <c r="AR141" s="2"/>
      <c r="AS141" s="16"/>
      <c r="AT141" s="2"/>
      <c r="AU141" s="2"/>
      <c r="AV141" s="18"/>
      <c r="AW141" s="18"/>
      <c r="AX141" s="18"/>
      <c r="AY141" s="18"/>
      <c r="AZ141" s="18"/>
      <c r="BA141" s="18"/>
      <c r="BB141" s="18"/>
      <c r="BC141" s="18"/>
      <c r="BD141" s="18"/>
    </row>
    <row r="142" spans="1:56" ht="14.25" customHeight="1">
      <c r="U142" s="15"/>
      <c r="V142" s="2"/>
      <c r="W142" s="2"/>
      <c r="X142" s="2"/>
      <c r="Y142" s="2"/>
      <c r="Z142" s="2"/>
      <c r="AA142" s="2"/>
      <c r="AB142" s="2"/>
      <c r="AC142" s="4"/>
      <c r="AD142" s="4"/>
      <c r="AE142" s="4"/>
      <c r="AF142" s="2"/>
      <c r="AG142" s="2"/>
      <c r="AH142" s="2"/>
      <c r="AI142" s="16"/>
      <c r="AJ142" s="2"/>
      <c r="AK142" s="2"/>
      <c r="AM142" s="2"/>
      <c r="AN142" s="17"/>
      <c r="AO142" s="2"/>
      <c r="AP142" s="2"/>
      <c r="AQ142" s="2"/>
      <c r="AR142" s="2"/>
      <c r="AS142" s="16"/>
      <c r="AT142" s="2"/>
      <c r="AU142" s="2"/>
      <c r="AV142" s="18"/>
      <c r="AW142" s="18"/>
      <c r="AX142" s="18"/>
      <c r="AY142" s="18"/>
      <c r="AZ142" s="18"/>
      <c r="BA142" s="18"/>
      <c r="BB142" s="18"/>
      <c r="BC142" s="18"/>
      <c r="BD142" s="18"/>
    </row>
    <row r="143" spans="1:56" ht="14.25" customHeight="1">
      <c r="A143" s="33">
        <f ca="1">MAX(OFFSET(A143,-4,0,4,1))+1</f>
        <v>134</v>
      </c>
      <c r="B143" s="38" t="s">
        <v>386</v>
      </c>
      <c r="C143" s="38" t="s">
        <v>379</v>
      </c>
      <c r="T143" s="38">
        <f ca="1">MAX(OFFSET(T143,-4,0,4,1))+1</f>
        <v>134</v>
      </c>
      <c r="V143" s="2" t="str">
        <f ca="1">CONCATENATE("#define ",B143,REPT(" ",20-LEN(B143)),"(",REPT(" ",3-LEN(T143)),T143,"U)    // ",C143)</f>
        <v>#define MODE_AMOUNT         (134U)    // количество режимов</v>
      </c>
      <c r="AC143" s="4"/>
      <c r="AD143" s="4"/>
      <c r="AE143" s="4"/>
      <c r="AI143" s="4"/>
      <c r="AJ143" s="4"/>
      <c r="AL143" s="2"/>
      <c r="AM143" s="4"/>
      <c r="AN143" s="17"/>
      <c r="AO143" s="4"/>
      <c r="AR143" s="4"/>
      <c r="AS143" s="17"/>
      <c r="AT143" s="4"/>
      <c r="AU143" s="2"/>
      <c r="AV143" s="22"/>
      <c r="AW143" s="18"/>
      <c r="AX143" s="4"/>
      <c r="AY143" s="18"/>
      <c r="AZ143" s="23"/>
      <c r="BA143" s="18"/>
      <c r="BB143" s="18"/>
      <c r="BC143" s="18"/>
      <c r="BD143" s="18"/>
    </row>
    <row r="146" spans="38:38">
      <c r="AL146" s="2"/>
    </row>
    <row r="148" spans="38:38">
      <c r="AL148" s="2"/>
    </row>
    <row r="150" spans="38:38">
      <c r="AL150" s="2"/>
    </row>
    <row r="151" spans="38:38">
      <c r="AL151" s="2"/>
    </row>
    <row r="153" spans="38:38">
      <c r="AL15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2026-09-11T20:17:13Z</dcterms:modified>
</cp:coreProperties>
</file>